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0710" windowHeight="4560" tabRatio="500" firstSheet="1" activeTab="4"/>
  </bookViews>
  <sheets>
    <sheet name="📊 Données_Brutes" sheetId="1" r:id="rId1"/>
    <sheet name="📊 Données_Propres" sheetId="5" r:id="rId2"/>
    <sheet name="TCD Analyses" sheetId="7" r:id="rId3"/>
    <sheet name="KPI Summary" sheetId="8" r:id="rId4"/>
    <sheet name="Dashboard" sheetId="9" r:id="rId5"/>
  </sheets>
  <externalReferences>
    <externalReference r:id="rId6"/>
    <externalReference r:id="rId7"/>
  </externalReferences>
  <definedNames>
    <definedName name="_xlnm._FilterDatabase" localSheetId="0" hidden="1">'📊 Données_Brutes'!$A$1:$J$206</definedName>
    <definedName name="_xlnm._FilterDatabase" localSheetId="1" hidden="1">'📊 Données_Propres'!$A$1:$L$199</definedName>
  </definedNames>
  <calcPr calcId="162913" iterateDelta="1E-4"/>
  <pivotCaches>
    <pivotCache cacheId="2" r:id="rId8"/>
  </pivotCaches>
</workbook>
</file>

<file path=xl/calcChain.xml><?xml version="1.0" encoding="utf-8"?>
<calcChain xmlns="http://schemas.openxmlformats.org/spreadsheetml/2006/main">
  <c r="B5" i="8" l="1"/>
  <c r="B4" i="8"/>
  <c r="B3" i="8"/>
  <c r="B2" i="8"/>
  <c r="J194" i="5" l="1"/>
  <c r="J199" i="5"/>
  <c r="J198" i="5"/>
  <c r="J197" i="5"/>
  <c r="J196" i="5"/>
  <c r="J195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L4" i="5"/>
  <c r="J4" i="5"/>
  <c r="J3" i="5"/>
  <c r="L2" i="5"/>
  <c r="J2" i="5"/>
  <c r="L5" i="1"/>
  <c r="L4" i="1"/>
  <c r="L3" i="1"/>
  <c r="L2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L5" i="5" l="1"/>
  <c r="L3" i="5"/>
</calcChain>
</file>

<file path=xl/sharedStrings.xml><?xml version="1.0" encoding="utf-8"?>
<sst xmlns="http://schemas.openxmlformats.org/spreadsheetml/2006/main" count="1898" uniqueCount="197">
  <si>
    <t>ID_Vente</t>
  </si>
  <si>
    <t>Date</t>
  </si>
  <si>
    <t>Vendeur</t>
  </si>
  <si>
    <t>Région</t>
  </si>
  <si>
    <t>Catégorie</t>
  </si>
  <si>
    <t>Produit</t>
  </si>
  <si>
    <t>Quantité</t>
  </si>
  <si>
    <t>Prix_Unitaire</t>
  </si>
  <si>
    <t>Remise_%</t>
  </si>
  <si>
    <t>CA_Net</t>
  </si>
  <si>
    <t>12/06/2024</t>
  </si>
  <si>
    <t>Sophie Martin</t>
  </si>
  <si>
    <t>Paris</t>
  </si>
  <si>
    <t>Accessoires</t>
  </si>
  <si>
    <t>Echarpe laine</t>
  </si>
  <si>
    <t>27/01/2024</t>
  </si>
  <si>
    <t>Nicolas Leroy</t>
  </si>
  <si>
    <t>Lille</t>
  </si>
  <si>
    <t>Hauts</t>
  </si>
  <si>
    <t>Blouse fleurie</t>
  </si>
  <si>
    <t>08/01/2024</t>
  </si>
  <si>
    <t>Lyon</t>
  </si>
  <si>
    <t>Bas</t>
  </si>
  <si>
    <t>Jupe midi</t>
  </si>
  <si>
    <t>23/05/2024</t>
  </si>
  <si>
    <t>Lucas Bernard</t>
  </si>
  <si>
    <t>Chaussures</t>
  </si>
  <si>
    <t>Bottines</t>
  </si>
  <si>
    <t>12/03/2024</t>
  </si>
  <si>
    <t>Mocassins</t>
  </si>
  <si>
    <t>25/02/2024</t>
  </si>
  <si>
    <t>Emma Dubois</t>
  </si>
  <si>
    <t>Sweat à capuche</t>
  </si>
  <si>
    <t>29/03/2024</t>
  </si>
  <si>
    <t>Camille Robert</t>
  </si>
  <si>
    <t>Marseille</t>
  </si>
  <si>
    <t>06/04/2024</t>
  </si>
  <si>
    <t>Portefeuille</t>
  </si>
  <si>
    <t>19/02/2024</t>
  </si>
  <si>
    <t>Chemise oxford</t>
  </si>
  <si>
    <t>29/02/2024</t>
  </si>
  <si>
    <t>Bordeaux</t>
  </si>
  <si>
    <t>Sac à main</t>
  </si>
  <si>
    <t>04/04/2024</t>
  </si>
  <si>
    <t>Ceinture cuir</t>
  </si>
  <si>
    <t>13/02/2024</t>
  </si>
  <si>
    <t>Legging sport</t>
  </si>
  <si>
    <t>Short cargo</t>
  </si>
  <si>
    <t>09/01/2024</t>
  </si>
  <si>
    <t>21/03/2024</t>
  </si>
  <si>
    <t>LUCAS BERNARD</t>
  </si>
  <si>
    <t>Sandales</t>
  </si>
  <si>
    <t>05/02/2024</t>
  </si>
  <si>
    <t>12/04/2024</t>
  </si>
  <si>
    <t>13/01/2024</t>
  </si>
  <si>
    <t>08/04/2024</t>
  </si>
  <si>
    <t>Thomas Petit</t>
  </si>
  <si>
    <t>Bottes cuir</t>
  </si>
  <si>
    <t>03/01/2024</t>
  </si>
  <si>
    <t>Bonnet</t>
  </si>
  <si>
    <t>21/04/2024</t>
  </si>
  <si>
    <t>Pull laine</t>
  </si>
  <si>
    <t>15/02/2024</t>
  </si>
  <si>
    <t>09/02/2024</t>
  </si>
  <si>
    <t>05/01/2024</t>
  </si>
  <si>
    <t>25/05/2024</t>
  </si>
  <si>
    <t>Sneakers</t>
  </si>
  <si>
    <t>02/02/2024</t>
  </si>
  <si>
    <t>04/06/2024</t>
  </si>
  <si>
    <t>15/06/2024</t>
  </si>
  <si>
    <t>17/01/2024</t>
  </si>
  <si>
    <t>19/01/2024</t>
  </si>
  <si>
    <t>Jean slim</t>
  </si>
  <si>
    <t>25/03/2024</t>
  </si>
  <si>
    <t>18/05/2024</t>
  </si>
  <si>
    <t>14/04/2024</t>
  </si>
  <si>
    <t>15/04/2024</t>
  </si>
  <si>
    <t>T-shirt basique</t>
  </si>
  <si>
    <t>27/03/2024</t>
  </si>
  <si>
    <t>Pantalon chino</t>
  </si>
  <si>
    <t>20/01/2024</t>
  </si>
  <si>
    <t>04/01/2024</t>
  </si>
  <si>
    <t>24/02/2024</t>
  </si>
  <si>
    <t>08/03/2024</t>
  </si>
  <si>
    <t>18/02/2024</t>
  </si>
  <si>
    <t>15/01/2024</t>
  </si>
  <si>
    <t>21/06/2024</t>
  </si>
  <si>
    <t>01/06/2024</t>
  </si>
  <si>
    <t>13/05/2024</t>
  </si>
  <si>
    <t>11/04/2024</t>
  </si>
  <si>
    <t>27/04/2024</t>
  </si>
  <si>
    <t>09/05/2024</t>
  </si>
  <si>
    <t>13/03/2024</t>
  </si>
  <si>
    <t>19/06/2024</t>
  </si>
  <si>
    <t>28/01/2024</t>
  </si>
  <si>
    <t>23/02/2024</t>
  </si>
  <si>
    <t>05/03/2024</t>
  </si>
  <si>
    <t>26/03/2024</t>
  </si>
  <si>
    <t>19/04/2024</t>
  </si>
  <si>
    <t>10/01/2024</t>
  </si>
  <si>
    <t>19/03/2024</t>
  </si>
  <si>
    <t>11/02/2024</t>
  </si>
  <si>
    <t>28/02/2024</t>
  </si>
  <si>
    <t>18/01/2024</t>
  </si>
  <si>
    <t>30/01/2024</t>
  </si>
  <si>
    <t>13/04/2024</t>
  </si>
  <si>
    <t>28/05/2024</t>
  </si>
  <si>
    <t>18/06/2024</t>
  </si>
  <si>
    <t>20/03/2024</t>
  </si>
  <si>
    <t>01/05/2024</t>
  </si>
  <si>
    <t>27/06/2024</t>
  </si>
  <si>
    <t>25/06/2024</t>
  </si>
  <si>
    <t>01/02/2024</t>
  </si>
  <si>
    <t>22/03/2024</t>
  </si>
  <si>
    <t>09/06/2024</t>
  </si>
  <si>
    <t>10/03/2024</t>
  </si>
  <si>
    <t>CAMILLE ROBERT</t>
  </si>
  <si>
    <t>17/04/2024</t>
  </si>
  <si>
    <t>02/01/2024</t>
  </si>
  <si>
    <t>19/05/2024</t>
  </si>
  <si>
    <t>04/05/2024</t>
  </si>
  <si>
    <t>29/04/2024</t>
  </si>
  <si>
    <t>06/01/2024</t>
  </si>
  <si>
    <t>07/01/2024</t>
  </si>
  <si>
    <t>31/05/2024</t>
  </si>
  <si>
    <t>31/01/2024</t>
  </si>
  <si>
    <t>05/05/2024</t>
  </si>
  <si>
    <t>03/05/2024</t>
  </si>
  <si>
    <t>23/01/2024</t>
  </si>
  <si>
    <t>20/06/2024</t>
  </si>
  <si>
    <t>28/06/2024</t>
  </si>
  <si>
    <t>02/03/2024</t>
  </si>
  <si>
    <t>26/02/2024</t>
  </si>
  <si>
    <t>21/05/2024</t>
  </si>
  <si>
    <t>11/03/2024</t>
  </si>
  <si>
    <t>17/02/2024</t>
  </si>
  <si>
    <t>24/05/2024</t>
  </si>
  <si>
    <t>16/04/2024</t>
  </si>
  <si>
    <t>23/04/2024</t>
  </si>
  <si>
    <t>16/01/2024</t>
  </si>
  <si>
    <t>21/01/2024</t>
  </si>
  <si>
    <t>01/01/2024</t>
  </si>
  <si>
    <t>14/03/2024</t>
  </si>
  <si>
    <t>14/06/2024</t>
  </si>
  <si>
    <t>22/04/2024</t>
  </si>
  <si>
    <t>THOMAS PETIT</t>
  </si>
  <si>
    <t>08/06/2024</t>
  </si>
  <si>
    <t>03/02/2024</t>
  </si>
  <si>
    <t>03/03/2024</t>
  </si>
  <si>
    <t>10/05/2024</t>
  </si>
  <si>
    <t>17/06/2024</t>
  </si>
  <si>
    <t>14/05/2024</t>
  </si>
  <si>
    <t>30/04/2024</t>
  </si>
  <si>
    <t>07/06/2024</t>
  </si>
  <si>
    <t>26/01/2024</t>
  </si>
  <si>
    <t>12/01/2024</t>
  </si>
  <si>
    <t>07/02/2024</t>
  </si>
  <si>
    <t>14/02/2024</t>
  </si>
  <si>
    <t>29/05/2024</t>
  </si>
  <si>
    <t>18/03/2024</t>
  </si>
  <si>
    <t>26/05/2024</t>
  </si>
  <si>
    <t>07/05/2024</t>
  </si>
  <si>
    <t>24/03/2024</t>
  </si>
  <si>
    <t>27/02/2024</t>
  </si>
  <si>
    <t>07/04/2024</t>
  </si>
  <si>
    <t>09/04/2024</t>
  </si>
  <si>
    <t>16/06/2024</t>
  </si>
  <si>
    <t>24/06/2024</t>
  </si>
  <si>
    <t>01/03/2024</t>
  </si>
  <si>
    <t>02/04/2024</t>
  </si>
  <si>
    <t>06/06/2024</t>
  </si>
  <si>
    <t>02/05/2024</t>
  </si>
  <si>
    <t>16/03/2024</t>
  </si>
  <si>
    <t>CA total brut</t>
  </si>
  <si>
    <t>Prix unitaire moyen</t>
  </si>
  <si>
    <t>Vente la plus élevée</t>
  </si>
  <si>
    <t xml:space="preserve">Nombre de Ventes </t>
  </si>
  <si>
    <t>Stats</t>
  </si>
  <si>
    <t>chiffre</t>
  </si>
  <si>
    <t>Étiquettes de lignes</t>
  </si>
  <si>
    <t>Total général</t>
  </si>
  <si>
    <t>Somme de CA_Net</t>
  </si>
  <si>
    <t>Étiquettes de colonnes</t>
  </si>
  <si>
    <t>janv</t>
  </si>
  <si>
    <t>févr</t>
  </si>
  <si>
    <t>mars</t>
  </si>
  <si>
    <t>avr</t>
  </si>
  <si>
    <t>mai</t>
  </si>
  <si>
    <t>juin</t>
  </si>
  <si>
    <t>KPI</t>
  </si>
  <si>
    <t>CA Total</t>
  </si>
  <si>
    <t>Nombre de Vente</t>
  </si>
  <si>
    <t>Panier Moyen</t>
  </si>
  <si>
    <t xml:space="preserve">Meilleur Vendeur </t>
  </si>
  <si>
    <t xml:space="preserve">Valeur </t>
  </si>
  <si>
    <t>Taux de Remise Moyen(%)</t>
  </si>
  <si>
    <t>Tableau de Bord  - Ventes Retail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</si>
</sst>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&quot; €&quot;"/>
    <numFmt numFmtId="165" formatCode="0\%"/>
    <numFmt numFmtId="166" formatCode="#,##0&quot; €&quot;"/>
    <numFmt numFmtId="167" formatCode="0;[Red]0"/>
    <numFmt numFmtId="168" formatCode="_-* #,##0\ [$€-40C]_-;\-* #,##0\ [$€-40C]_-;_-* &quot;-&quot;??\ [$€-40C]_-;_-@_-"/>
    <numFmt numFmtId="169" formatCode="0.0;[Red]0.0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b/>
      <sz val="11"/>
      <color theme="0" tint="-4.9989318521683403E-2"/>
      <name val="Calibri"/>
      <family val="2"/>
    </font>
    <font>
      <b/>
      <sz val="14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2" fillId="3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6" borderId="1" xfId="0" applyFont="1" applyFill="1" applyBorder="1"/>
    <xf numFmtId="0" fontId="0" fillId="0" borderId="1" xfId="0" applyBorder="1"/>
    <xf numFmtId="169" fontId="0" fillId="0" borderId="1" xfId="0" applyNumberFormat="1" applyBorder="1"/>
    <xf numFmtId="0" fontId="4" fillId="5" borderId="1" xfId="0" applyFont="1" applyFill="1" applyBorder="1"/>
    <xf numFmtId="168" fontId="4" fillId="5" borderId="1" xfId="0" applyNumberFormat="1" applyFont="1" applyFill="1" applyBorder="1"/>
    <xf numFmtId="0" fontId="3" fillId="4" borderId="1" xfId="0" applyFont="1" applyFill="1" applyBorder="1"/>
    <xf numFmtId="0" fontId="3" fillId="4" borderId="1" xfId="0" applyNumberFormat="1" applyFont="1" applyFill="1" applyBorder="1" applyAlignment="1">
      <alignment horizontal="right"/>
    </xf>
    <xf numFmtId="0" fontId="5" fillId="7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[projet_ventes_retail.xlsx]TCD Analyses!Tableau croisé dynamique1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 Analyses'!$B$3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'TCD Analyses'!$A$4:$A$10</c:f>
              <c:strCache>
                <c:ptCount val="6"/>
                <c:pt idx="0">
                  <c:v>Thomas Petit</c:v>
                </c:pt>
                <c:pt idx="1">
                  <c:v>Camille Robert</c:v>
                </c:pt>
                <c:pt idx="2">
                  <c:v>Sophie Martin</c:v>
                </c:pt>
                <c:pt idx="3">
                  <c:v>Emma Dubois</c:v>
                </c:pt>
                <c:pt idx="4">
                  <c:v>Nicolas Leroy</c:v>
                </c:pt>
                <c:pt idx="5">
                  <c:v>Lucas Bernard</c:v>
                </c:pt>
              </c:strCache>
            </c:strRef>
          </c:cat>
          <c:val>
            <c:numRef>
              <c:f>'TCD Analyses'!$B$4:$B$10</c:f>
              <c:numCache>
                <c:formatCode>General</c:formatCode>
                <c:ptCount val="6"/>
                <c:pt idx="0">
                  <c:v>7560.5</c:v>
                </c:pt>
                <c:pt idx="1">
                  <c:v>7062</c:v>
                </c:pt>
                <c:pt idx="2">
                  <c:v>6867</c:v>
                </c:pt>
                <c:pt idx="3">
                  <c:v>6862.5</c:v>
                </c:pt>
                <c:pt idx="4">
                  <c:v>4980</c:v>
                </c:pt>
                <c:pt idx="5">
                  <c:v>4659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3-42AD-ABC0-3A6BE6537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248879"/>
        <c:axId val="1683246799"/>
      </c:barChart>
      <c:catAx>
        <c:axId val="168324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246799"/>
        <c:crosses val="autoZero"/>
        <c:auto val="1"/>
        <c:lblAlgn val="ctr"/>
        <c:lblOffset val="100"/>
        <c:noMultiLvlLbl val="0"/>
      </c:catAx>
      <c:valAx>
        <c:axId val="168324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24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[projet_ventes_retail.xlsx]TCD Analyses!Tableau croisé dynamique2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'TCD Analyses'!$F$3:$F$4</c:f>
              <c:strCache>
                <c:ptCount val="1"/>
                <c:pt idx="0">
                  <c:v>Accessoires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'TCD Analyses'!$E$5:$E$11</c:f>
              <c:strCache>
                <c:ptCount val="6"/>
                <c:pt idx="0">
                  <c:v>juin</c:v>
                </c:pt>
                <c:pt idx="1">
                  <c:v>mars</c:v>
                </c:pt>
                <c:pt idx="2">
                  <c:v>févr</c:v>
                </c:pt>
                <c:pt idx="3">
                  <c:v>mai</c:v>
                </c:pt>
                <c:pt idx="4">
                  <c:v>avr</c:v>
                </c:pt>
                <c:pt idx="5">
                  <c:v>janv</c:v>
                </c:pt>
              </c:strCache>
            </c:strRef>
          </c:cat>
          <c:val>
            <c:numRef>
              <c:f>'TCD Analyses'!$F$5:$F$11</c:f>
              <c:numCache>
                <c:formatCode>General</c:formatCode>
                <c:ptCount val="6"/>
                <c:pt idx="0">
                  <c:v>1977.25</c:v>
                </c:pt>
                <c:pt idx="1">
                  <c:v>481.5</c:v>
                </c:pt>
                <c:pt idx="2">
                  <c:v>1820.25</c:v>
                </c:pt>
                <c:pt idx="3">
                  <c:v>1119.5</c:v>
                </c:pt>
                <c:pt idx="4">
                  <c:v>875.25</c:v>
                </c:pt>
                <c:pt idx="5">
                  <c:v>614.5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D-45E7-A8C0-4B6198929D68}"/>
            </c:ext>
          </c:extLst>
        </c:ser>
        <c:ser>
          <c:idx val="1"/>
          <c:order val="1"/>
          <c:tx>
            <c:strRef>
              <c:f>'TCD Analyses'!$G$3:$G$4</c:f>
              <c:strCache>
                <c:ptCount val="1"/>
                <c:pt idx="0">
                  <c:v>Bas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'TCD Analyses'!$E$5:$E$11</c:f>
              <c:strCache>
                <c:ptCount val="6"/>
                <c:pt idx="0">
                  <c:v>juin</c:v>
                </c:pt>
                <c:pt idx="1">
                  <c:v>mars</c:v>
                </c:pt>
                <c:pt idx="2">
                  <c:v>févr</c:v>
                </c:pt>
                <c:pt idx="3">
                  <c:v>mai</c:v>
                </c:pt>
                <c:pt idx="4">
                  <c:v>avr</c:v>
                </c:pt>
                <c:pt idx="5">
                  <c:v>janv</c:v>
                </c:pt>
              </c:strCache>
            </c:strRef>
          </c:cat>
          <c:val>
            <c:numRef>
              <c:f>'TCD Analyses'!$G$5:$G$11</c:f>
              <c:numCache>
                <c:formatCode>General</c:formatCode>
                <c:ptCount val="6"/>
                <c:pt idx="0">
                  <c:v>998</c:v>
                </c:pt>
                <c:pt idx="1">
                  <c:v>1121.5</c:v>
                </c:pt>
                <c:pt idx="2">
                  <c:v>1415.5</c:v>
                </c:pt>
                <c:pt idx="3">
                  <c:v>905.5</c:v>
                </c:pt>
                <c:pt idx="4">
                  <c:v>811</c:v>
                </c:pt>
                <c:pt idx="5">
                  <c:v>2557.5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4D-45E7-A8C0-4B6198929D68}"/>
            </c:ext>
          </c:extLst>
        </c:ser>
        <c:ser>
          <c:idx val="2"/>
          <c:order val="2"/>
          <c:tx>
            <c:strRef>
              <c:f>'TCD Analyses'!$H$3:$H$4</c:f>
              <c:strCache>
                <c:ptCount val="1"/>
                <c:pt idx="0">
                  <c:v>Chaussures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'TCD Analyses'!$E$5:$E$11</c:f>
              <c:strCache>
                <c:ptCount val="6"/>
                <c:pt idx="0">
                  <c:v>juin</c:v>
                </c:pt>
                <c:pt idx="1">
                  <c:v>mars</c:v>
                </c:pt>
                <c:pt idx="2">
                  <c:v>févr</c:v>
                </c:pt>
                <c:pt idx="3">
                  <c:v>mai</c:v>
                </c:pt>
                <c:pt idx="4">
                  <c:v>avr</c:v>
                </c:pt>
                <c:pt idx="5">
                  <c:v>janv</c:v>
                </c:pt>
              </c:strCache>
            </c:strRef>
          </c:cat>
          <c:val>
            <c:numRef>
              <c:f>'TCD Analyses'!$H$5:$H$11</c:f>
              <c:numCache>
                <c:formatCode>General</c:formatCode>
                <c:ptCount val="6"/>
                <c:pt idx="0">
                  <c:v>2923.25</c:v>
                </c:pt>
                <c:pt idx="1">
                  <c:v>3959.25</c:v>
                </c:pt>
                <c:pt idx="2">
                  <c:v>1911</c:v>
                </c:pt>
                <c:pt idx="3">
                  <c:v>2927</c:v>
                </c:pt>
                <c:pt idx="4">
                  <c:v>2495.5</c:v>
                </c:pt>
                <c:pt idx="5">
                  <c:v>1810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4D-45E7-A8C0-4B6198929D68}"/>
            </c:ext>
          </c:extLst>
        </c:ser>
        <c:ser>
          <c:idx val="3"/>
          <c:order val="3"/>
          <c:tx>
            <c:strRef>
              <c:f>'TCD Analyses'!$I$3:$I$4</c:f>
              <c:strCache>
                <c:ptCount val="1"/>
                <c:pt idx="0">
                  <c:v>Hauts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'TCD Analyses'!$E$5:$E$11</c:f>
              <c:strCache>
                <c:ptCount val="6"/>
                <c:pt idx="0">
                  <c:v>juin</c:v>
                </c:pt>
                <c:pt idx="1">
                  <c:v>mars</c:v>
                </c:pt>
                <c:pt idx="2">
                  <c:v>févr</c:v>
                </c:pt>
                <c:pt idx="3">
                  <c:v>mai</c:v>
                </c:pt>
                <c:pt idx="4">
                  <c:v>avr</c:v>
                </c:pt>
                <c:pt idx="5">
                  <c:v>janv</c:v>
                </c:pt>
              </c:strCache>
            </c:strRef>
          </c:cat>
          <c:val>
            <c:numRef>
              <c:f>'TCD Analyses'!$I$5:$I$11</c:f>
              <c:numCache>
                <c:formatCode>General</c:formatCode>
                <c:ptCount val="6"/>
                <c:pt idx="0">
                  <c:v>1305</c:v>
                </c:pt>
                <c:pt idx="1">
                  <c:v>1395</c:v>
                </c:pt>
                <c:pt idx="2">
                  <c:v>1080.25</c:v>
                </c:pt>
                <c:pt idx="3">
                  <c:v>1263</c:v>
                </c:pt>
                <c:pt idx="4">
                  <c:v>1729</c:v>
                </c:pt>
                <c:pt idx="5">
                  <c:v>495.5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4D-45E7-A8C0-4B6198929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919727"/>
        <c:axId val="2056919311"/>
      </c:lineChart>
      <c:catAx>
        <c:axId val="205691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919311"/>
        <c:crosses val="autoZero"/>
        <c:auto val="1"/>
        <c:lblAlgn val="ctr"/>
        <c:lblOffset val="100"/>
        <c:noMultiLvlLbl val="0"/>
      </c:catAx>
      <c:valAx>
        <c:axId val="205691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91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[projet_ventes_retail.xlsx]TCD Analyses!Tableau croisé dynamique3</c:name>
    <c:fmtId val="5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'TCD Analyses'!$P$4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'TCD Analyses'!$O$5:$O$10</c:f>
              <c:strCache>
                <c:ptCount val="5"/>
                <c:pt idx="0">
                  <c:v>Bottes cuir</c:v>
                </c:pt>
                <c:pt idx="1">
                  <c:v>Bottines</c:v>
                </c:pt>
                <c:pt idx="2">
                  <c:v>Sac à main</c:v>
                </c:pt>
                <c:pt idx="3">
                  <c:v>Sneakers</c:v>
                </c:pt>
                <c:pt idx="4">
                  <c:v>Chemise oxford</c:v>
                </c:pt>
              </c:strCache>
            </c:strRef>
          </c:cat>
          <c:val>
            <c:numRef>
              <c:f>'TCD Analyses'!$P$5:$P$10</c:f>
              <c:numCache>
                <c:formatCode>General</c:formatCode>
                <c:ptCount val="5"/>
                <c:pt idx="0">
                  <c:v>6832.5</c:v>
                </c:pt>
                <c:pt idx="1">
                  <c:v>3234</c:v>
                </c:pt>
                <c:pt idx="2">
                  <c:v>3064.5</c:v>
                </c:pt>
                <c:pt idx="3">
                  <c:v>2422.5</c:v>
                </c:pt>
                <c:pt idx="4">
                  <c:v>2414.5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7-4898-BD1A-C2323EF3A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6919727"/>
        <c:axId val="2056917231"/>
      </c:barChart>
      <c:catAx>
        <c:axId val="2056919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917231"/>
        <c:crosses val="autoZero"/>
        <c:auto val="1"/>
        <c:lblAlgn val="ctr"/>
        <c:lblOffset val="100"/>
        <c:noMultiLvlLbl val="0"/>
      </c:catAx>
      <c:valAx>
        <c:axId val="205691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91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[projet_ventes_retail.xlsx]TCD Analyses!Tableau croisé dynamique4</c:name>
    <c:fmtId val="2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'TCD Analyses'!$G$21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C9-4F86-9CBE-717C02C0F8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C9-4F86-9CBE-717C02C0F8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C9-4F86-9CBE-717C02C0F8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C9-4F86-9CBE-717C02C0F8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C9-4F86-9CBE-717C02C0F8DC}"/>
              </c:ext>
            </c:extLst>
          </c:dPt>
          <c:cat>
            <c:strRef>
              <c:f>'TCD Analyses'!$F$22:$F$27</c:f>
              <c:strCache>
                <c:ptCount val="5"/>
                <c:pt idx="0">
                  <c:v>Lille</c:v>
                </c:pt>
                <c:pt idx="1">
                  <c:v>Lyon</c:v>
                </c:pt>
                <c:pt idx="2">
                  <c:v>Marseille</c:v>
                </c:pt>
                <c:pt idx="3">
                  <c:v>Bordeaux</c:v>
                </c:pt>
                <c:pt idx="4">
                  <c:v>Paris</c:v>
                </c:pt>
              </c:strCache>
            </c:strRef>
          </c:cat>
          <c:val>
            <c:numRef>
              <c:f>'TCD Analyses'!$G$22:$G$27</c:f>
              <c:numCache>
                <c:formatCode>General</c:formatCode>
                <c:ptCount val="5"/>
                <c:pt idx="0">
                  <c:v>8782</c:v>
                </c:pt>
                <c:pt idx="1">
                  <c:v>8193.25</c:v>
                </c:pt>
                <c:pt idx="2">
                  <c:v>7847.5</c:v>
                </c:pt>
                <c:pt idx="3">
                  <c:v>6803.75</c:v>
                </c:pt>
                <c:pt idx="4">
                  <c:v>6364.5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C9-4F86-9CBE-717C02C0F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329481</xdr:colOff>
      <xdr:row>2</xdr:row>
      <xdr:rowOff>28364</xdr:rowOff>
    </xdr:from>
    <xdr:to>
      <xdr:col>7</xdr:col>
      <xdr:colOff>329480</xdr:colOff>
      <xdr:row>17</xdr:row>
      <xdr:rowOff>9314</xdr:rowOff>
    </xdr:to>
    <xdr:graphicFrame macro="">
      <xdr:nvGraphicFramePr>
        <xdr:cNvPr id="2" name="CA par vendeu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538129</xdr:colOff>
      <xdr:row>0</xdr:row>
      <xdr:rowOff>55931</xdr:rowOff>
    </xdr:from>
    <xdr:to>
      <xdr:col>14</xdr:col>
      <xdr:colOff>538129</xdr:colOff>
      <xdr:row>15</xdr:row>
      <xdr:rowOff>37417</xdr:rowOff>
    </xdr:to>
    <xdr:graphicFrame macro="">
      <xdr:nvGraphicFramePr>
        <xdr:cNvPr id="3" name="CA par categorie et par Moi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352816</xdr:colOff>
      <xdr:row>18</xdr:row>
      <xdr:rowOff>25438</xdr:rowOff>
    </xdr:from>
    <xdr:to>
      <xdr:col>7</xdr:col>
      <xdr:colOff>352815</xdr:colOff>
      <xdr:row>33</xdr:row>
      <xdr:rowOff>6388</xdr:rowOff>
    </xdr:to>
    <xdr:graphicFrame macro="">
      <xdr:nvGraphicFramePr>
        <xdr:cNvPr id="4" name="Top 5 Produi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50929</xdr:colOff>
      <xdr:row>17</xdr:row>
      <xdr:rowOff>88377</xdr:rowOff>
    </xdr:from>
    <xdr:to>
      <xdr:col>15</xdr:col>
      <xdr:colOff>50928</xdr:colOff>
      <xdr:row>32</xdr:row>
      <xdr:rowOff>69327</xdr:rowOff>
    </xdr:to>
    <xdr:graphicFrame macro="">
      <xdr:nvGraphicFramePr>
        <xdr:cNvPr id="5" name="CA Par Ré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onn&#233;es_propr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onn&#233;es_Propr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📊 Données_Brutes"/>
      <sheetName val="📊 Données Propres"/>
      <sheetName val="TCD Analyses"/>
      <sheetName val="📋 Guide_Projet"/>
    </sheetNames>
    <sheetDataSet>
      <sheetData sheetId="0"/>
      <sheetData sheetId="1">
        <row r="1">
          <cell r="J1" t="str">
            <v>CA_Net</v>
          </cell>
        </row>
        <row r="2">
          <cell r="J2">
            <v>60</v>
          </cell>
        </row>
        <row r="3">
          <cell r="J3">
            <v>180</v>
          </cell>
        </row>
        <row r="4">
          <cell r="J4">
            <v>325</v>
          </cell>
        </row>
        <row r="5">
          <cell r="J5">
            <v>432</v>
          </cell>
        </row>
        <row r="6">
          <cell r="J6">
            <v>255</v>
          </cell>
        </row>
        <row r="7">
          <cell r="J7">
            <v>60</v>
          </cell>
        </row>
        <row r="8">
          <cell r="J8">
            <v>300</v>
          </cell>
        </row>
        <row r="9">
          <cell r="J9">
            <v>121.5</v>
          </cell>
        </row>
        <row r="10">
          <cell r="J10">
            <v>165</v>
          </cell>
        </row>
        <row r="11">
          <cell r="J11">
            <v>270</v>
          </cell>
        </row>
        <row r="12">
          <cell r="J12">
            <v>148.75</v>
          </cell>
        </row>
        <row r="13">
          <cell r="J13">
            <v>160</v>
          </cell>
        </row>
        <row r="14">
          <cell r="J14">
            <v>50</v>
          </cell>
        </row>
        <row r="15">
          <cell r="J15">
            <v>63</v>
          </cell>
        </row>
        <row r="16">
          <cell r="J16">
            <v>120</v>
          </cell>
        </row>
        <row r="17">
          <cell r="J17">
            <v>162</v>
          </cell>
        </row>
        <row r="18">
          <cell r="J18">
            <v>260</v>
          </cell>
        </row>
        <row r="19">
          <cell r="J19">
            <v>200</v>
          </cell>
        </row>
        <row r="20">
          <cell r="J20">
            <v>405</v>
          </cell>
        </row>
        <row r="21">
          <cell r="J21">
            <v>20</v>
          </cell>
        </row>
        <row r="22">
          <cell r="J22">
            <v>300</v>
          </cell>
        </row>
        <row r="23">
          <cell r="J23">
            <v>225</v>
          </cell>
        </row>
        <row r="24">
          <cell r="J24">
            <v>128.25</v>
          </cell>
        </row>
        <row r="25">
          <cell r="J25">
            <v>30</v>
          </cell>
        </row>
        <row r="26">
          <cell r="J26">
            <v>380</v>
          </cell>
        </row>
        <row r="27">
          <cell r="J27">
            <v>200</v>
          </cell>
        </row>
        <row r="28">
          <cell r="J28">
            <v>170</v>
          </cell>
        </row>
        <row r="29">
          <cell r="J29">
            <v>190</v>
          </cell>
        </row>
        <row r="30">
          <cell r="J30">
            <v>130</v>
          </cell>
        </row>
        <row r="31">
          <cell r="J31">
            <v>64</v>
          </cell>
        </row>
        <row r="32">
          <cell r="J32">
            <v>200</v>
          </cell>
        </row>
        <row r="33">
          <cell r="J33">
            <v>384</v>
          </cell>
        </row>
        <row r="34">
          <cell r="J34">
            <v>85</v>
          </cell>
        </row>
        <row r="35">
          <cell r="J35">
            <v>332.5</v>
          </cell>
        </row>
        <row r="36">
          <cell r="J36">
            <v>144</v>
          </cell>
        </row>
        <row r="37">
          <cell r="J37">
            <v>100</v>
          </cell>
        </row>
        <row r="38">
          <cell r="J38">
            <v>152</v>
          </cell>
        </row>
        <row r="39">
          <cell r="J39">
            <v>38</v>
          </cell>
        </row>
        <row r="40">
          <cell r="J40">
            <v>600</v>
          </cell>
        </row>
        <row r="41">
          <cell r="J41">
            <v>225</v>
          </cell>
        </row>
        <row r="42">
          <cell r="J42">
            <v>750</v>
          </cell>
        </row>
        <row r="43">
          <cell r="J43">
            <v>400</v>
          </cell>
        </row>
        <row r="44">
          <cell r="J44">
            <v>81</v>
          </cell>
        </row>
        <row r="45">
          <cell r="J45">
            <v>270</v>
          </cell>
        </row>
        <row r="46">
          <cell r="J46">
            <v>100</v>
          </cell>
        </row>
        <row r="47">
          <cell r="J47">
            <v>85</v>
          </cell>
        </row>
        <row r="48">
          <cell r="J48">
            <v>125</v>
          </cell>
        </row>
        <row r="49">
          <cell r="J49">
            <v>70</v>
          </cell>
        </row>
        <row r="50">
          <cell r="J50">
            <v>225</v>
          </cell>
        </row>
        <row r="51">
          <cell r="J51">
            <v>165</v>
          </cell>
        </row>
        <row r="52">
          <cell r="J52">
            <v>135</v>
          </cell>
        </row>
        <row r="53">
          <cell r="J53">
            <v>237.5</v>
          </cell>
        </row>
        <row r="54">
          <cell r="J54">
            <v>85</v>
          </cell>
        </row>
        <row r="55">
          <cell r="J55">
            <v>0</v>
          </cell>
        </row>
        <row r="56">
          <cell r="J56">
            <v>45</v>
          </cell>
        </row>
        <row r="57">
          <cell r="J57">
            <v>80</v>
          </cell>
        </row>
        <row r="58">
          <cell r="J58">
            <v>51</v>
          </cell>
        </row>
        <row r="59">
          <cell r="J59">
            <v>300</v>
          </cell>
        </row>
        <row r="60">
          <cell r="J60">
            <v>132</v>
          </cell>
        </row>
        <row r="61">
          <cell r="J61">
            <v>28.5</v>
          </cell>
        </row>
        <row r="62">
          <cell r="J62">
            <v>120</v>
          </cell>
        </row>
        <row r="63">
          <cell r="J63">
            <v>120</v>
          </cell>
        </row>
        <row r="64">
          <cell r="J64">
            <v>450</v>
          </cell>
        </row>
        <row r="65">
          <cell r="J65">
            <v>31.5</v>
          </cell>
        </row>
        <row r="66">
          <cell r="J66">
            <v>750</v>
          </cell>
        </row>
        <row r="67">
          <cell r="J67">
            <v>140</v>
          </cell>
        </row>
        <row r="68">
          <cell r="J68">
            <v>76.5</v>
          </cell>
        </row>
        <row r="69">
          <cell r="J69">
            <v>375</v>
          </cell>
        </row>
        <row r="70">
          <cell r="J70">
            <v>425</v>
          </cell>
        </row>
        <row r="71">
          <cell r="J71">
            <v>325</v>
          </cell>
        </row>
        <row r="72">
          <cell r="J72">
            <v>38</v>
          </cell>
        </row>
        <row r="73">
          <cell r="J73">
            <v>204</v>
          </cell>
        </row>
        <row r="74">
          <cell r="J74">
            <v>216</v>
          </cell>
        </row>
        <row r="75">
          <cell r="J75">
            <v>59.5</v>
          </cell>
        </row>
        <row r="76">
          <cell r="J76">
            <v>80</v>
          </cell>
        </row>
        <row r="77">
          <cell r="J77">
            <v>300</v>
          </cell>
        </row>
        <row r="78">
          <cell r="J78">
            <v>204</v>
          </cell>
        </row>
        <row r="79">
          <cell r="J79">
            <v>192</v>
          </cell>
        </row>
        <row r="80">
          <cell r="J80">
            <v>72</v>
          </cell>
        </row>
        <row r="81">
          <cell r="J81">
            <v>675</v>
          </cell>
        </row>
        <row r="82">
          <cell r="J82">
            <v>600</v>
          </cell>
        </row>
        <row r="83">
          <cell r="J83">
            <v>237.5</v>
          </cell>
        </row>
        <row r="84">
          <cell r="J84">
            <v>285</v>
          </cell>
        </row>
        <row r="85">
          <cell r="J85">
            <v>110</v>
          </cell>
        </row>
        <row r="86">
          <cell r="J86">
            <v>304</v>
          </cell>
        </row>
        <row r="87">
          <cell r="J87">
            <v>152</v>
          </cell>
        </row>
        <row r="88">
          <cell r="J88">
            <v>171</v>
          </cell>
        </row>
        <row r="89">
          <cell r="J89">
            <v>255</v>
          </cell>
        </row>
        <row r="90">
          <cell r="J90">
            <v>342</v>
          </cell>
        </row>
        <row r="91">
          <cell r="J91">
            <v>144</v>
          </cell>
        </row>
        <row r="92">
          <cell r="J92">
            <v>270</v>
          </cell>
        </row>
        <row r="93">
          <cell r="J93">
            <v>480</v>
          </cell>
        </row>
        <row r="94">
          <cell r="J94">
            <v>120</v>
          </cell>
        </row>
        <row r="95">
          <cell r="J95">
            <v>80.75</v>
          </cell>
        </row>
        <row r="96">
          <cell r="J96">
            <v>127.5</v>
          </cell>
        </row>
        <row r="97">
          <cell r="J97">
            <v>88</v>
          </cell>
        </row>
        <row r="98">
          <cell r="J98">
            <v>238</v>
          </cell>
        </row>
        <row r="99">
          <cell r="J99">
            <v>45</v>
          </cell>
        </row>
        <row r="100">
          <cell r="J100">
            <v>120</v>
          </cell>
        </row>
        <row r="101">
          <cell r="J101">
            <v>300</v>
          </cell>
        </row>
        <row r="102">
          <cell r="J102">
            <v>153</v>
          </cell>
        </row>
        <row r="103">
          <cell r="J103">
            <v>112</v>
          </cell>
        </row>
        <row r="104">
          <cell r="J104">
            <v>171</v>
          </cell>
        </row>
        <row r="105">
          <cell r="J105">
            <v>180</v>
          </cell>
        </row>
        <row r="106">
          <cell r="J106">
            <v>32</v>
          </cell>
        </row>
        <row r="107">
          <cell r="J107">
            <v>180</v>
          </cell>
        </row>
        <row r="108">
          <cell r="J108">
            <v>180</v>
          </cell>
        </row>
        <row r="109">
          <cell r="J109">
            <v>54</v>
          </cell>
        </row>
        <row r="110">
          <cell r="J110">
            <v>90</v>
          </cell>
        </row>
        <row r="111">
          <cell r="J111">
            <v>255</v>
          </cell>
        </row>
        <row r="112">
          <cell r="J112">
            <v>95</v>
          </cell>
        </row>
        <row r="113">
          <cell r="J113">
            <v>128.25</v>
          </cell>
        </row>
        <row r="114">
          <cell r="J114">
            <v>450</v>
          </cell>
        </row>
        <row r="115">
          <cell r="J115">
            <v>40</v>
          </cell>
        </row>
        <row r="116">
          <cell r="J116">
            <v>119</v>
          </cell>
        </row>
        <row r="117">
          <cell r="J117">
            <v>70</v>
          </cell>
        </row>
        <row r="118">
          <cell r="J118">
            <v>175</v>
          </cell>
        </row>
        <row r="119">
          <cell r="J119">
            <v>120</v>
          </cell>
        </row>
        <row r="120">
          <cell r="J120">
            <v>240</v>
          </cell>
        </row>
        <row r="121">
          <cell r="J121">
            <v>90.25</v>
          </cell>
        </row>
        <row r="122">
          <cell r="J122">
            <v>88</v>
          </cell>
        </row>
        <row r="123">
          <cell r="J123">
            <v>320</v>
          </cell>
        </row>
        <row r="124">
          <cell r="J124">
            <v>247</v>
          </cell>
        </row>
        <row r="125">
          <cell r="J125">
            <v>382.5</v>
          </cell>
        </row>
        <row r="126">
          <cell r="J126">
            <v>178.5</v>
          </cell>
        </row>
        <row r="127">
          <cell r="J127">
            <v>65</v>
          </cell>
        </row>
        <row r="128">
          <cell r="J128">
            <v>85</v>
          </cell>
        </row>
        <row r="129">
          <cell r="J129">
            <v>190</v>
          </cell>
        </row>
        <row r="130">
          <cell r="J130">
            <v>475</v>
          </cell>
        </row>
        <row r="131">
          <cell r="J131">
            <v>80</v>
          </cell>
        </row>
        <row r="132">
          <cell r="J132">
            <v>85.5</v>
          </cell>
        </row>
        <row r="133">
          <cell r="J133">
            <v>213.75</v>
          </cell>
        </row>
        <row r="134">
          <cell r="J134">
            <v>162</v>
          </cell>
        </row>
        <row r="135">
          <cell r="J135">
            <v>325</v>
          </cell>
        </row>
        <row r="136">
          <cell r="J136">
            <v>198</v>
          </cell>
        </row>
        <row r="137">
          <cell r="J137">
            <v>221</v>
          </cell>
        </row>
        <row r="138">
          <cell r="J138">
            <v>270</v>
          </cell>
        </row>
        <row r="139">
          <cell r="J139">
            <v>360</v>
          </cell>
        </row>
        <row r="140">
          <cell r="J140">
            <v>60</v>
          </cell>
        </row>
        <row r="141">
          <cell r="J141">
            <v>127.5</v>
          </cell>
        </row>
        <row r="142">
          <cell r="J142">
            <v>275</v>
          </cell>
        </row>
        <row r="143">
          <cell r="J143">
            <v>148.5</v>
          </cell>
        </row>
        <row r="144">
          <cell r="J144">
            <v>80.75</v>
          </cell>
        </row>
        <row r="145">
          <cell r="J145">
            <v>40.5</v>
          </cell>
        </row>
        <row r="146">
          <cell r="J146">
            <v>51</v>
          </cell>
        </row>
        <row r="147">
          <cell r="J147">
            <v>342</v>
          </cell>
        </row>
        <row r="148">
          <cell r="J148">
            <v>72</v>
          </cell>
        </row>
        <row r="149">
          <cell r="J149">
            <v>300</v>
          </cell>
        </row>
        <row r="150">
          <cell r="J150">
            <v>90</v>
          </cell>
        </row>
        <row r="151">
          <cell r="J151">
            <v>600</v>
          </cell>
        </row>
        <row r="152">
          <cell r="J152">
            <v>144</v>
          </cell>
        </row>
        <row r="153">
          <cell r="J153">
            <v>480</v>
          </cell>
        </row>
        <row r="154">
          <cell r="J154">
            <v>114</v>
          </cell>
        </row>
        <row r="155">
          <cell r="J155">
            <v>140</v>
          </cell>
        </row>
        <row r="156">
          <cell r="J156">
            <v>80</v>
          </cell>
        </row>
        <row r="157">
          <cell r="J157">
            <v>228</v>
          </cell>
        </row>
        <row r="158">
          <cell r="J158">
            <v>450</v>
          </cell>
        </row>
        <row r="159">
          <cell r="J159">
            <v>28.5</v>
          </cell>
        </row>
        <row r="160">
          <cell r="J160">
            <v>360</v>
          </cell>
        </row>
        <row r="161">
          <cell r="J161">
            <v>57</v>
          </cell>
        </row>
        <row r="162">
          <cell r="J162">
            <v>300</v>
          </cell>
        </row>
        <row r="163">
          <cell r="J163">
            <v>285</v>
          </cell>
        </row>
        <row r="164">
          <cell r="J164">
            <v>340</v>
          </cell>
        </row>
        <row r="165">
          <cell r="J165">
            <v>90</v>
          </cell>
        </row>
        <row r="166">
          <cell r="J166">
            <v>256.5</v>
          </cell>
        </row>
        <row r="167">
          <cell r="J167">
            <v>180.5</v>
          </cell>
        </row>
        <row r="168">
          <cell r="J168">
            <v>16</v>
          </cell>
        </row>
        <row r="169">
          <cell r="J169">
            <v>40.5</v>
          </cell>
        </row>
        <row r="170">
          <cell r="J170">
            <v>54</v>
          </cell>
        </row>
        <row r="171">
          <cell r="J171">
            <v>60</v>
          </cell>
        </row>
        <row r="172">
          <cell r="J172">
            <v>30</v>
          </cell>
        </row>
        <row r="173">
          <cell r="J173">
            <v>112</v>
          </cell>
        </row>
        <row r="174">
          <cell r="J174">
            <v>72</v>
          </cell>
        </row>
        <row r="175">
          <cell r="J175">
            <v>60</v>
          </cell>
        </row>
        <row r="176">
          <cell r="J176">
            <v>140</v>
          </cell>
        </row>
        <row r="177">
          <cell r="J177">
            <v>229.5</v>
          </cell>
        </row>
        <row r="178">
          <cell r="J178">
            <v>220</v>
          </cell>
        </row>
        <row r="179">
          <cell r="J179">
            <v>272</v>
          </cell>
        </row>
        <row r="180">
          <cell r="J180">
            <v>55</v>
          </cell>
        </row>
        <row r="181">
          <cell r="J181">
            <v>275</v>
          </cell>
        </row>
        <row r="182">
          <cell r="J182">
            <v>285</v>
          </cell>
        </row>
        <row r="183">
          <cell r="J183">
            <v>72.25</v>
          </cell>
        </row>
        <row r="184">
          <cell r="J184">
            <v>360</v>
          </cell>
        </row>
        <row r="185">
          <cell r="J185">
            <v>140</v>
          </cell>
        </row>
        <row r="186">
          <cell r="J186">
            <v>275</v>
          </cell>
        </row>
        <row r="187">
          <cell r="J187">
            <v>130</v>
          </cell>
        </row>
        <row r="188">
          <cell r="J188">
            <v>168</v>
          </cell>
        </row>
        <row r="189">
          <cell r="J189">
            <v>54</v>
          </cell>
        </row>
        <row r="190">
          <cell r="J190">
            <v>55</v>
          </cell>
        </row>
        <row r="191">
          <cell r="J191">
            <v>165</v>
          </cell>
        </row>
        <row r="192">
          <cell r="J192">
            <v>95</v>
          </cell>
        </row>
        <row r="193">
          <cell r="J193">
            <v>300</v>
          </cell>
        </row>
        <row r="194">
          <cell r="J194">
            <v>90</v>
          </cell>
        </row>
        <row r="195">
          <cell r="J195">
            <v>240</v>
          </cell>
        </row>
        <row r="196">
          <cell r="J196">
            <v>160</v>
          </cell>
        </row>
        <row r="197">
          <cell r="J197">
            <v>405</v>
          </cell>
        </row>
        <row r="198">
          <cell r="J198">
            <v>76</v>
          </cell>
        </row>
        <row r="199">
          <cell r="J199">
            <v>160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📊 Données_Brutes"/>
      <sheetName val="📊 Données Propres"/>
      <sheetName val="TCD Analyses"/>
      <sheetName val="📋 Guide_Projet"/>
      <sheetName val="Données_Propres"/>
    </sheetNames>
    <sheetDataSet>
      <sheetData sheetId="0"/>
      <sheetData sheetId="1">
        <row r="1">
          <cell r="A1" t="str">
            <v>ID_Vente</v>
          </cell>
          <cell r="I1" t="str">
            <v>Remise_%</v>
          </cell>
        </row>
        <row r="2">
          <cell r="A2">
            <v>1</v>
          </cell>
          <cell r="I2">
            <v>0</v>
          </cell>
        </row>
        <row r="3">
          <cell r="A3">
            <v>2</v>
          </cell>
          <cell r="I3">
            <v>0</v>
          </cell>
        </row>
        <row r="4">
          <cell r="A4">
            <v>3</v>
          </cell>
          <cell r="I4">
            <v>0</v>
          </cell>
        </row>
        <row r="5">
          <cell r="A5">
            <v>4</v>
          </cell>
          <cell r="I5">
            <v>10</v>
          </cell>
        </row>
        <row r="6">
          <cell r="A6">
            <v>5</v>
          </cell>
          <cell r="I6">
            <v>0</v>
          </cell>
        </row>
        <row r="7">
          <cell r="A7">
            <v>6</v>
          </cell>
          <cell r="I7">
            <v>0</v>
          </cell>
        </row>
        <row r="8">
          <cell r="A8">
            <v>7</v>
          </cell>
          <cell r="I8">
            <v>0</v>
          </cell>
        </row>
        <row r="9">
          <cell r="A9">
            <v>8</v>
          </cell>
          <cell r="I9">
            <v>10</v>
          </cell>
        </row>
        <row r="10">
          <cell r="A10">
            <v>9</v>
          </cell>
          <cell r="I10">
            <v>0</v>
          </cell>
        </row>
        <row r="11">
          <cell r="A11">
            <v>10</v>
          </cell>
          <cell r="I11">
            <v>0</v>
          </cell>
        </row>
        <row r="12">
          <cell r="A12">
            <v>11</v>
          </cell>
          <cell r="I12">
            <v>15</v>
          </cell>
        </row>
        <row r="13">
          <cell r="A13">
            <v>12</v>
          </cell>
          <cell r="I13">
            <v>0</v>
          </cell>
        </row>
        <row r="14">
          <cell r="A14">
            <v>13</v>
          </cell>
          <cell r="I14">
            <v>0</v>
          </cell>
        </row>
        <row r="15">
          <cell r="A15">
            <v>14</v>
          </cell>
          <cell r="I15">
            <v>10</v>
          </cell>
        </row>
        <row r="16">
          <cell r="A16">
            <v>15</v>
          </cell>
          <cell r="I16">
            <v>0</v>
          </cell>
        </row>
        <row r="17">
          <cell r="A17">
            <v>16</v>
          </cell>
          <cell r="I17">
            <v>10</v>
          </cell>
        </row>
        <row r="18">
          <cell r="A18">
            <v>17</v>
          </cell>
          <cell r="I18">
            <v>0</v>
          </cell>
        </row>
        <row r="19">
          <cell r="A19">
            <v>18</v>
          </cell>
          <cell r="I19">
            <v>0</v>
          </cell>
        </row>
        <row r="20">
          <cell r="A20">
            <v>19</v>
          </cell>
          <cell r="I20">
            <v>10</v>
          </cell>
        </row>
        <row r="21">
          <cell r="A21">
            <v>20</v>
          </cell>
          <cell r="I21">
            <v>0</v>
          </cell>
        </row>
        <row r="22">
          <cell r="A22">
            <v>21</v>
          </cell>
          <cell r="I22">
            <v>20</v>
          </cell>
        </row>
        <row r="23">
          <cell r="A23">
            <v>22</v>
          </cell>
          <cell r="I23">
            <v>0</v>
          </cell>
        </row>
        <row r="24">
          <cell r="A24">
            <v>23</v>
          </cell>
          <cell r="I24">
            <v>5</v>
          </cell>
        </row>
        <row r="25">
          <cell r="A25">
            <v>24</v>
          </cell>
          <cell r="I25">
            <v>0</v>
          </cell>
        </row>
        <row r="26">
          <cell r="A26">
            <v>25</v>
          </cell>
          <cell r="I26">
            <v>20</v>
          </cell>
        </row>
        <row r="27">
          <cell r="A27">
            <v>26</v>
          </cell>
          <cell r="I27">
            <v>20</v>
          </cell>
        </row>
        <row r="28">
          <cell r="A28">
            <v>27</v>
          </cell>
          <cell r="I28">
            <v>15</v>
          </cell>
        </row>
        <row r="29">
          <cell r="A29">
            <v>28</v>
          </cell>
          <cell r="I29">
            <v>0</v>
          </cell>
        </row>
        <row r="30">
          <cell r="A30">
            <v>29</v>
          </cell>
          <cell r="I30">
            <v>0</v>
          </cell>
        </row>
        <row r="31">
          <cell r="A31">
            <v>30</v>
          </cell>
          <cell r="I31">
            <v>20</v>
          </cell>
        </row>
        <row r="32">
          <cell r="A32">
            <v>31</v>
          </cell>
          <cell r="I32">
            <v>0</v>
          </cell>
        </row>
        <row r="33">
          <cell r="A33">
            <v>32</v>
          </cell>
          <cell r="I33">
            <v>20</v>
          </cell>
        </row>
        <row r="34">
          <cell r="A34">
            <v>34</v>
          </cell>
          <cell r="I34">
            <v>15</v>
          </cell>
        </row>
        <row r="35">
          <cell r="A35">
            <v>35</v>
          </cell>
          <cell r="I35">
            <v>5</v>
          </cell>
        </row>
        <row r="36">
          <cell r="A36">
            <v>36</v>
          </cell>
          <cell r="I36">
            <v>20</v>
          </cell>
        </row>
        <row r="37">
          <cell r="A37">
            <v>37</v>
          </cell>
          <cell r="I37">
            <v>20</v>
          </cell>
        </row>
        <row r="38">
          <cell r="A38">
            <v>38</v>
          </cell>
          <cell r="I38">
            <v>5</v>
          </cell>
        </row>
        <row r="39">
          <cell r="A39">
            <v>39</v>
          </cell>
          <cell r="I39">
            <v>5</v>
          </cell>
        </row>
        <row r="40">
          <cell r="A40">
            <v>40</v>
          </cell>
          <cell r="I40">
            <v>0</v>
          </cell>
        </row>
        <row r="41">
          <cell r="A41">
            <v>41</v>
          </cell>
          <cell r="I41">
            <v>0</v>
          </cell>
        </row>
        <row r="42">
          <cell r="A42">
            <v>42</v>
          </cell>
          <cell r="I42">
            <v>0</v>
          </cell>
        </row>
        <row r="43">
          <cell r="A43">
            <v>43</v>
          </cell>
          <cell r="I43">
            <v>0</v>
          </cell>
        </row>
        <row r="44">
          <cell r="A44">
            <v>44</v>
          </cell>
          <cell r="I44">
            <v>10</v>
          </cell>
        </row>
        <row r="45">
          <cell r="A45">
            <v>45</v>
          </cell>
          <cell r="I45">
            <v>10</v>
          </cell>
        </row>
        <row r="46">
          <cell r="A46">
            <v>46</v>
          </cell>
          <cell r="I46">
            <v>0</v>
          </cell>
        </row>
        <row r="47">
          <cell r="A47">
            <v>47</v>
          </cell>
          <cell r="I47">
            <v>0</v>
          </cell>
        </row>
        <row r="48">
          <cell r="A48">
            <v>48</v>
          </cell>
          <cell r="I48">
            <v>0</v>
          </cell>
        </row>
        <row r="49">
          <cell r="A49">
            <v>49</v>
          </cell>
          <cell r="I49">
            <v>0</v>
          </cell>
        </row>
        <row r="50">
          <cell r="A50">
            <v>50</v>
          </cell>
          <cell r="I50">
            <v>0</v>
          </cell>
        </row>
        <row r="51">
          <cell r="A51">
            <v>51</v>
          </cell>
          <cell r="I51">
            <v>0</v>
          </cell>
        </row>
        <row r="52">
          <cell r="A52">
            <v>52</v>
          </cell>
          <cell r="I52">
            <v>10</v>
          </cell>
        </row>
        <row r="53">
          <cell r="A53">
            <v>53</v>
          </cell>
          <cell r="I53">
            <v>5</v>
          </cell>
        </row>
        <row r="54">
          <cell r="A54">
            <v>54</v>
          </cell>
          <cell r="I54">
            <v>0</v>
          </cell>
        </row>
        <row r="55">
          <cell r="A55">
            <v>55</v>
          </cell>
          <cell r="I55">
            <v>15</v>
          </cell>
        </row>
        <row r="56">
          <cell r="A56">
            <v>56</v>
          </cell>
          <cell r="I56">
            <v>10</v>
          </cell>
        </row>
        <row r="57">
          <cell r="A57">
            <v>57</v>
          </cell>
          <cell r="I57">
            <v>0</v>
          </cell>
        </row>
        <row r="58">
          <cell r="A58">
            <v>58</v>
          </cell>
          <cell r="I58">
            <v>15</v>
          </cell>
        </row>
        <row r="59">
          <cell r="A59">
            <v>59</v>
          </cell>
          <cell r="I59">
            <v>0</v>
          </cell>
        </row>
        <row r="60">
          <cell r="A60">
            <v>60</v>
          </cell>
          <cell r="I60">
            <v>20</v>
          </cell>
        </row>
        <row r="61">
          <cell r="A61">
            <v>61</v>
          </cell>
          <cell r="I61">
            <v>5</v>
          </cell>
        </row>
        <row r="62">
          <cell r="A62">
            <v>62</v>
          </cell>
          <cell r="I62">
            <v>0</v>
          </cell>
        </row>
        <row r="63">
          <cell r="A63">
            <v>63</v>
          </cell>
          <cell r="I63">
            <v>0</v>
          </cell>
        </row>
        <row r="64">
          <cell r="A64">
            <v>64</v>
          </cell>
          <cell r="I64">
            <v>0</v>
          </cell>
        </row>
        <row r="65">
          <cell r="A65">
            <v>65</v>
          </cell>
          <cell r="I65">
            <v>10</v>
          </cell>
        </row>
        <row r="66">
          <cell r="A66">
            <v>66</v>
          </cell>
          <cell r="I66">
            <v>0</v>
          </cell>
        </row>
        <row r="67">
          <cell r="A67">
            <v>67</v>
          </cell>
          <cell r="I67">
            <v>0</v>
          </cell>
        </row>
        <row r="68">
          <cell r="A68">
            <v>68</v>
          </cell>
          <cell r="I68">
            <v>15</v>
          </cell>
        </row>
        <row r="69">
          <cell r="A69">
            <v>69</v>
          </cell>
          <cell r="I69">
            <v>0</v>
          </cell>
        </row>
        <row r="70">
          <cell r="A70">
            <v>70</v>
          </cell>
          <cell r="I70">
            <v>0</v>
          </cell>
        </row>
        <row r="71">
          <cell r="A71">
            <v>71</v>
          </cell>
          <cell r="I71">
            <v>0</v>
          </cell>
        </row>
        <row r="72">
          <cell r="A72">
            <v>72</v>
          </cell>
          <cell r="I72">
            <v>5</v>
          </cell>
        </row>
        <row r="73">
          <cell r="A73">
            <v>73</v>
          </cell>
          <cell r="I73">
            <v>15</v>
          </cell>
        </row>
        <row r="74">
          <cell r="A74">
            <v>74</v>
          </cell>
          <cell r="I74">
            <v>10</v>
          </cell>
        </row>
        <row r="75">
          <cell r="A75">
            <v>75</v>
          </cell>
          <cell r="I75">
            <v>15</v>
          </cell>
        </row>
        <row r="76">
          <cell r="A76">
            <v>76</v>
          </cell>
          <cell r="I76">
            <v>0</v>
          </cell>
        </row>
        <row r="77">
          <cell r="A77">
            <v>77</v>
          </cell>
          <cell r="I77">
            <v>0</v>
          </cell>
        </row>
        <row r="78">
          <cell r="A78">
            <v>78</v>
          </cell>
          <cell r="I78">
            <v>15</v>
          </cell>
        </row>
        <row r="79">
          <cell r="A79">
            <v>79</v>
          </cell>
          <cell r="I79">
            <v>20</v>
          </cell>
        </row>
        <row r="80">
          <cell r="A80">
            <v>80</v>
          </cell>
          <cell r="I80">
            <v>20</v>
          </cell>
        </row>
        <row r="81">
          <cell r="A81">
            <v>81</v>
          </cell>
          <cell r="I81">
            <v>10</v>
          </cell>
        </row>
        <row r="82">
          <cell r="A82">
            <v>82</v>
          </cell>
          <cell r="I82">
            <v>0</v>
          </cell>
        </row>
        <row r="83">
          <cell r="A83">
            <v>83</v>
          </cell>
          <cell r="I83">
            <v>5</v>
          </cell>
        </row>
        <row r="84">
          <cell r="A84">
            <v>84</v>
          </cell>
          <cell r="I84">
            <v>0</v>
          </cell>
        </row>
        <row r="85">
          <cell r="A85">
            <v>85</v>
          </cell>
          <cell r="I85">
            <v>0</v>
          </cell>
        </row>
        <row r="86">
          <cell r="A86">
            <v>86</v>
          </cell>
          <cell r="I86">
            <v>5</v>
          </cell>
        </row>
        <row r="87">
          <cell r="A87">
            <v>87</v>
          </cell>
          <cell r="I87">
            <v>20</v>
          </cell>
        </row>
        <row r="88">
          <cell r="A88">
            <v>88</v>
          </cell>
          <cell r="I88">
            <v>5</v>
          </cell>
        </row>
        <row r="89">
          <cell r="A89">
            <v>89</v>
          </cell>
          <cell r="I89">
            <v>15</v>
          </cell>
        </row>
        <row r="90">
          <cell r="A90">
            <v>90</v>
          </cell>
          <cell r="I90">
            <v>5</v>
          </cell>
        </row>
        <row r="91">
          <cell r="A91">
            <v>91</v>
          </cell>
          <cell r="I91">
            <v>20</v>
          </cell>
        </row>
        <row r="92">
          <cell r="A92">
            <v>92</v>
          </cell>
          <cell r="I92">
            <v>10</v>
          </cell>
        </row>
        <row r="93">
          <cell r="A93">
            <v>93</v>
          </cell>
          <cell r="I93">
            <v>0</v>
          </cell>
        </row>
        <row r="94">
          <cell r="A94">
            <v>94</v>
          </cell>
          <cell r="I94">
            <v>0</v>
          </cell>
        </row>
        <row r="95">
          <cell r="A95">
            <v>95</v>
          </cell>
          <cell r="I95">
            <v>5</v>
          </cell>
        </row>
        <row r="96">
          <cell r="A96">
            <v>96</v>
          </cell>
          <cell r="I96">
            <v>15</v>
          </cell>
        </row>
        <row r="97">
          <cell r="A97">
            <v>97</v>
          </cell>
          <cell r="I97">
            <v>20</v>
          </cell>
        </row>
        <row r="98">
          <cell r="A98">
            <v>98</v>
          </cell>
          <cell r="I98">
            <v>15</v>
          </cell>
        </row>
        <row r="99">
          <cell r="A99">
            <v>100</v>
          </cell>
          <cell r="I99">
            <v>10</v>
          </cell>
        </row>
        <row r="100">
          <cell r="A100">
            <v>101</v>
          </cell>
          <cell r="I100">
            <v>0</v>
          </cell>
        </row>
        <row r="101">
          <cell r="A101">
            <v>102</v>
          </cell>
          <cell r="I101">
            <v>20</v>
          </cell>
        </row>
        <row r="102">
          <cell r="A102">
            <v>103</v>
          </cell>
          <cell r="I102">
            <v>15</v>
          </cell>
        </row>
        <row r="103">
          <cell r="A103">
            <v>104</v>
          </cell>
          <cell r="I103">
            <v>20</v>
          </cell>
        </row>
        <row r="104">
          <cell r="A104">
            <v>105</v>
          </cell>
          <cell r="I104">
            <v>5</v>
          </cell>
        </row>
        <row r="105">
          <cell r="A105">
            <v>106</v>
          </cell>
          <cell r="I105">
            <v>20</v>
          </cell>
        </row>
        <row r="106">
          <cell r="A106">
            <v>107</v>
          </cell>
          <cell r="I106">
            <v>20</v>
          </cell>
        </row>
        <row r="107">
          <cell r="A107">
            <v>108</v>
          </cell>
          <cell r="I107">
            <v>10</v>
          </cell>
        </row>
        <row r="108">
          <cell r="A108">
            <v>109</v>
          </cell>
          <cell r="I108">
            <v>0</v>
          </cell>
        </row>
        <row r="109">
          <cell r="A109">
            <v>110</v>
          </cell>
          <cell r="I109">
            <v>10</v>
          </cell>
        </row>
        <row r="110">
          <cell r="A110">
            <v>111</v>
          </cell>
          <cell r="I110">
            <v>0</v>
          </cell>
        </row>
        <row r="111">
          <cell r="A111">
            <v>112</v>
          </cell>
          <cell r="I111">
            <v>15</v>
          </cell>
        </row>
        <row r="112">
          <cell r="A112">
            <v>113</v>
          </cell>
          <cell r="I112">
            <v>0</v>
          </cell>
        </row>
        <row r="113">
          <cell r="A113">
            <v>114</v>
          </cell>
          <cell r="I113">
            <v>5</v>
          </cell>
        </row>
        <row r="114">
          <cell r="A114">
            <v>115</v>
          </cell>
          <cell r="I114">
            <v>0</v>
          </cell>
        </row>
        <row r="115">
          <cell r="A115">
            <v>116</v>
          </cell>
          <cell r="I115">
            <v>0</v>
          </cell>
        </row>
        <row r="116">
          <cell r="A116">
            <v>117</v>
          </cell>
          <cell r="I116">
            <v>15</v>
          </cell>
        </row>
        <row r="117">
          <cell r="A117">
            <v>118</v>
          </cell>
          <cell r="I117">
            <v>0</v>
          </cell>
        </row>
        <row r="118">
          <cell r="A118">
            <v>119</v>
          </cell>
          <cell r="I118">
            <v>0</v>
          </cell>
        </row>
        <row r="119">
          <cell r="A119">
            <v>120</v>
          </cell>
          <cell r="I119">
            <v>0</v>
          </cell>
        </row>
        <row r="120">
          <cell r="A120">
            <v>121</v>
          </cell>
          <cell r="I120">
            <v>0</v>
          </cell>
        </row>
        <row r="121">
          <cell r="A121">
            <v>122</v>
          </cell>
          <cell r="I121">
            <v>5</v>
          </cell>
        </row>
        <row r="122">
          <cell r="A122">
            <v>123</v>
          </cell>
          <cell r="I122">
            <v>20</v>
          </cell>
        </row>
        <row r="123">
          <cell r="A123">
            <v>124</v>
          </cell>
          <cell r="I123">
            <v>20</v>
          </cell>
        </row>
        <row r="124">
          <cell r="A124">
            <v>125</v>
          </cell>
          <cell r="I124">
            <v>5</v>
          </cell>
        </row>
        <row r="125">
          <cell r="A125">
            <v>126</v>
          </cell>
          <cell r="I125">
            <v>10</v>
          </cell>
        </row>
        <row r="126">
          <cell r="A126">
            <v>127</v>
          </cell>
          <cell r="I126">
            <v>15</v>
          </cell>
        </row>
        <row r="127">
          <cell r="A127">
            <v>128</v>
          </cell>
          <cell r="I127">
            <v>0</v>
          </cell>
        </row>
        <row r="128">
          <cell r="A128">
            <v>129</v>
          </cell>
          <cell r="I128">
            <v>0</v>
          </cell>
        </row>
        <row r="129">
          <cell r="A129">
            <v>130</v>
          </cell>
          <cell r="I129">
            <v>0</v>
          </cell>
        </row>
        <row r="130">
          <cell r="A130">
            <v>131</v>
          </cell>
          <cell r="I130">
            <v>0</v>
          </cell>
        </row>
        <row r="131">
          <cell r="A131">
            <v>132</v>
          </cell>
          <cell r="I131">
            <v>0</v>
          </cell>
        </row>
        <row r="132">
          <cell r="A132">
            <v>133</v>
          </cell>
          <cell r="I132">
            <v>5</v>
          </cell>
        </row>
        <row r="133">
          <cell r="A133">
            <v>134</v>
          </cell>
          <cell r="I133">
            <v>5</v>
          </cell>
        </row>
        <row r="134">
          <cell r="A134">
            <v>135</v>
          </cell>
          <cell r="I134">
            <v>10</v>
          </cell>
        </row>
        <row r="135">
          <cell r="A135">
            <v>136</v>
          </cell>
          <cell r="I135">
            <v>0</v>
          </cell>
        </row>
        <row r="136">
          <cell r="A136">
            <v>137</v>
          </cell>
          <cell r="I136">
            <v>10</v>
          </cell>
        </row>
        <row r="137">
          <cell r="A137">
            <v>138</v>
          </cell>
          <cell r="I137">
            <v>15</v>
          </cell>
        </row>
        <row r="138">
          <cell r="A138">
            <v>139</v>
          </cell>
          <cell r="I138">
            <v>0</v>
          </cell>
        </row>
        <row r="139">
          <cell r="A139">
            <v>140</v>
          </cell>
          <cell r="I139">
            <v>0</v>
          </cell>
        </row>
        <row r="140">
          <cell r="A140">
            <v>141</v>
          </cell>
          <cell r="I140">
            <v>0</v>
          </cell>
        </row>
        <row r="141">
          <cell r="A141">
            <v>142</v>
          </cell>
          <cell r="I141">
            <v>15</v>
          </cell>
        </row>
        <row r="142">
          <cell r="A142">
            <v>143</v>
          </cell>
          <cell r="I142">
            <v>0</v>
          </cell>
        </row>
        <row r="143">
          <cell r="A143">
            <v>144</v>
          </cell>
          <cell r="I143">
            <v>10</v>
          </cell>
        </row>
        <row r="144">
          <cell r="A144">
            <v>145</v>
          </cell>
          <cell r="I144">
            <v>15</v>
          </cell>
        </row>
        <row r="145">
          <cell r="A145">
            <v>146</v>
          </cell>
          <cell r="I145">
            <v>10</v>
          </cell>
        </row>
        <row r="146">
          <cell r="A146">
            <v>147</v>
          </cell>
          <cell r="I146">
            <v>15</v>
          </cell>
        </row>
        <row r="147">
          <cell r="A147">
            <v>148</v>
          </cell>
          <cell r="I147">
            <v>5</v>
          </cell>
        </row>
        <row r="148">
          <cell r="A148">
            <v>149</v>
          </cell>
          <cell r="I148">
            <v>10</v>
          </cell>
        </row>
        <row r="149">
          <cell r="A149">
            <v>150</v>
          </cell>
          <cell r="I149">
            <v>0</v>
          </cell>
        </row>
        <row r="150">
          <cell r="A150">
            <v>151</v>
          </cell>
          <cell r="I150">
            <v>10</v>
          </cell>
        </row>
        <row r="151">
          <cell r="A151">
            <v>152</v>
          </cell>
          <cell r="I151">
            <v>0</v>
          </cell>
        </row>
        <row r="152">
          <cell r="A152">
            <v>153</v>
          </cell>
          <cell r="I152">
            <v>20</v>
          </cell>
        </row>
        <row r="153">
          <cell r="A153">
            <v>154</v>
          </cell>
          <cell r="I153">
            <v>0</v>
          </cell>
        </row>
        <row r="154">
          <cell r="A154">
            <v>155</v>
          </cell>
          <cell r="I154">
            <v>5</v>
          </cell>
        </row>
        <row r="155">
          <cell r="A155">
            <v>156</v>
          </cell>
          <cell r="I155">
            <v>0</v>
          </cell>
        </row>
        <row r="156">
          <cell r="A156">
            <v>157</v>
          </cell>
          <cell r="I156">
            <v>0</v>
          </cell>
        </row>
        <row r="157">
          <cell r="A157">
            <v>158</v>
          </cell>
          <cell r="I157">
            <v>20</v>
          </cell>
        </row>
        <row r="158">
          <cell r="A158">
            <v>159</v>
          </cell>
          <cell r="I158">
            <v>0</v>
          </cell>
        </row>
        <row r="159">
          <cell r="A159">
            <v>160</v>
          </cell>
          <cell r="I159">
            <v>5</v>
          </cell>
        </row>
        <row r="160">
          <cell r="A160">
            <v>161</v>
          </cell>
          <cell r="I160">
            <v>0</v>
          </cell>
        </row>
        <row r="161">
          <cell r="A161">
            <v>162</v>
          </cell>
          <cell r="I161">
            <v>5</v>
          </cell>
        </row>
        <row r="162">
          <cell r="A162">
            <v>163</v>
          </cell>
          <cell r="I162">
            <v>0</v>
          </cell>
        </row>
        <row r="163">
          <cell r="A163">
            <v>164</v>
          </cell>
          <cell r="I163">
            <v>5</v>
          </cell>
        </row>
        <row r="164">
          <cell r="A164">
            <v>165</v>
          </cell>
          <cell r="I164">
            <v>0</v>
          </cell>
        </row>
        <row r="165">
          <cell r="A165">
            <v>166</v>
          </cell>
          <cell r="I165">
            <v>0</v>
          </cell>
        </row>
        <row r="166">
          <cell r="A166">
            <v>167</v>
          </cell>
          <cell r="I166">
            <v>5</v>
          </cell>
        </row>
        <row r="167">
          <cell r="A167">
            <v>168</v>
          </cell>
          <cell r="I167">
            <v>5</v>
          </cell>
        </row>
        <row r="168">
          <cell r="A168">
            <v>169</v>
          </cell>
          <cell r="I168">
            <v>20</v>
          </cell>
        </row>
        <row r="169">
          <cell r="A169">
            <v>170</v>
          </cell>
          <cell r="I169">
            <v>10</v>
          </cell>
        </row>
        <row r="170">
          <cell r="A170">
            <v>171</v>
          </cell>
          <cell r="I170">
            <v>10</v>
          </cell>
        </row>
        <row r="171">
          <cell r="A171">
            <v>172</v>
          </cell>
          <cell r="I171">
            <v>20</v>
          </cell>
        </row>
        <row r="172">
          <cell r="A172">
            <v>173</v>
          </cell>
          <cell r="I172">
            <v>0</v>
          </cell>
        </row>
        <row r="173">
          <cell r="A173">
            <v>174</v>
          </cell>
          <cell r="I173">
            <v>20</v>
          </cell>
        </row>
        <row r="174">
          <cell r="A174">
            <v>175</v>
          </cell>
          <cell r="I174">
            <v>20</v>
          </cell>
        </row>
        <row r="175">
          <cell r="A175">
            <v>176</v>
          </cell>
          <cell r="I175">
            <v>0</v>
          </cell>
        </row>
        <row r="176">
          <cell r="A176">
            <v>177</v>
          </cell>
          <cell r="I176">
            <v>0</v>
          </cell>
        </row>
        <row r="177">
          <cell r="A177">
            <v>178</v>
          </cell>
          <cell r="I177">
            <v>10</v>
          </cell>
        </row>
        <row r="178">
          <cell r="A178">
            <v>179</v>
          </cell>
          <cell r="I178">
            <v>0</v>
          </cell>
        </row>
        <row r="179">
          <cell r="A179">
            <v>180</v>
          </cell>
          <cell r="I179">
            <v>15</v>
          </cell>
        </row>
        <row r="180">
          <cell r="A180">
            <v>181</v>
          </cell>
          <cell r="I180">
            <v>0</v>
          </cell>
        </row>
        <row r="181">
          <cell r="A181">
            <v>182</v>
          </cell>
          <cell r="I181">
            <v>0</v>
          </cell>
        </row>
        <row r="182">
          <cell r="A182">
            <v>183</v>
          </cell>
          <cell r="I182">
            <v>5</v>
          </cell>
        </row>
        <row r="183">
          <cell r="A183">
            <v>184</v>
          </cell>
          <cell r="I183">
            <v>15</v>
          </cell>
        </row>
        <row r="184">
          <cell r="A184">
            <v>185</v>
          </cell>
          <cell r="I184">
            <v>0</v>
          </cell>
        </row>
        <row r="185">
          <cell r="A185">
            <v>186</v>
          </cell>
          <cell r="I185">
            <v>0</v>
          </cell>
        </row>
        <row r="186">
          <cell r="A186">
            <v>187</v>
          </cell>
          <cell r="I186">
            <v>0</v>
          </cell>
        </row>
        <row r="187">
          <cell r="A187">
            <v>188</v>
          </cell>
          <cell r="I187">
            <v>0</v>
          </cell>
        </row>
        <row r="188">
          <cell r="A188">
            <v>189</v>
          </cell>
          <cell r="I188">
            <v>20</v>
          </cell>
        </row>
        <row r="189">
          <cell r="A189">
            <v>190</v>
          </cell>
          <cell r="I189">
            <v>10</v>
          </cell>
        </row>
        <row r="190">
          <cell r="A190">
            <v>191</v>
          </cell>
          <cell r="I190">
            <v>0</v>
          </cell>
        </row>
        <row r="191">
          <cell r="A191">
            <v>192</v>
          </cell>
          <cell r="I191">
            <v>0</v>
          </cell>
        </row>
        <row r="192">
          <cell r="A192">
            <v>193</v>
          </cell>
          <cell r="I192">
            <v>5</v>
          </cell>
        </row>
        <row r="193">
          <cell r="A193">
            <v>194</v>
          </cell>
          <cell r="I193">
            <v>0</v>
          </cell>
        </row>
        <row r="194">
          <cell r="A194">
            <v>195</v>
          </cell>
          <cell r="I194">
            <v>0</v>
          </cell>
        </row>
        <row r="195">
          <cell r="A195">
            <v>196</v>
          </cell>
          <cell r="I195">
            <v>0</v>
          </cell>
        </row>
        <row r="196">
          <cell r="A196">
            <v>197</v>
          </cell>
          <cell r="I196">
            <v>0</v>
          </cell>
        </row>
        <row r="197">
          <cell r="A197">
            <v>198</v>
          </cell>
          <cell r="I197">
            <v>10</v>
          </cell>
        </row>
        <row r="198">
          <cell r="A198">
            <v>199</v>
          </cell>
          <cell r="I198">
            <v>20</v>
          </cell>
        </row>
        <row r="199">
          <cell r="A199">
            <v>200</v>
          </cell>
          <cell r="I199">
            <v>0</v>
          </cell>
        </row>
      </sheetData>
      <sheetData sheetId="2"/>
      <sheetData sheetId="3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05.067946180556" createdVersion="6" refreshedVersion="6" minRefreshableVersion="3" recordCount="198">
  <cacheSource type="worksheet">
    <worksheetSource ref="A1:L199" sheet="📊 Données_Propres"/>
  </cacheSource>
  <cacheFields count="12">
    <cacheField name="ID_Vente" numFmtId="0">
      <sharedItems containsSemiMixedTypes="0" containsString="0" containsNumber="1" containsInteger="1" minValue="1" maxValue="200"/>
    </cacheField>
    <cacheField name="Date" numFmtId="14">
      <sharedItems containsSemiMixedTypes="0" containsNonDate="0" containsDate="1" containsString="0" minDate="2024-01-01T00:00:00" maxDate="2024-06-29T00:00:00" count="125">
        <d v="2024-06-12T00:00:00"/>
        <d v="2024-01-27T00:00:00"/>
        <d v="2024-01-08T00:00:00"/>
        <d v="2024-05-23T00:00:00"/>
        <d v="2024-03-12T00:00:00"/>
        <d v="2024-02-25T00:00:00"/>
        <d v="2024-03-29T00:00:00"/>
        <d v="2024-04-06T00:00:00"/>
        <d v="2024-02-19T00:00:00"/>
        <d v="2024-02-29T00:00:00"/>
        <d v="2024-04-04T00:00:00"/>
        <d v="2024-02-13T00:00:00"/>
        <d v="2024-01-09T00:00:00"/>
        <d v="2024-03-21T00:00:00"/>
        <d v="2024-02-05T00:00:00"/>
        <d v="2024-04-12T00:00:00"/>
        <d v="2024-01-13T00:00:00"/>
        <d v="2024-04-08T00:00:00"/>
        <d v="2024-01-03T00:00:00"/>
        <d v="2024-04-21T00:00:00"/>
        <d v="2024-02-15T00:00:00"/>
        <d v="2024-02-09T00:00:00"/>
        <d v="2024-01-05T00:00:00"/>
        <d v="2024-05-25T00:00:00"/>
        <d v="2024-02-02T00:00:00"/>
        <d v="2024-06-04T00:00:00"/>
        <d v="2024-06-15T00:00:00"/>
        <d v="2024-01-17T00:00:00"/>
        <d v="2024-01-19T00:00:00"/>
        <d v="2024-03-25T00:00:00"/>
        <d v="2024-05-18T00:00:00"/>
        <d v="2024-04-15T00:00:00"/>
        <d v="2024-03-27T00:00:00"/>
        <d v="2024-01-20T00:00:00"/>
        <d v="2024-01-04T00:00:00"/>
        <d v="2024-02-24T00:00:00"/>
        <d v="2024-03-08T00:00:00"/>
        <d v="2024-02-18T00:00:00"/>
        <d v="2024-01-15T00:00:00"/>
        <d v="2024-06-21T00:00:00"/>
        <d v="2024-06-01T00:00:00"/>
        <d v="2024-05-13T00:00:00"/>
        <d v="2024-04-11T00:00:00"/>
        <d v="2024-04-27T00:00:00"/>
        <d v="2024-05-09T00:00:00"/>
        <d v="2024-03-13T00:00:00"/>
        <d v="2024-06-19T00:00:00"/>
        <d v="2024-01-28T00:00:00"/>
        <d v="2024-02-23T00:00:00"/>
        <d v="2024-03-05T00:00:00"/>
        <d v="2024-03-26T00:00:00"/>
        <d v="2024-04-19T00:00:00"/>
        <d v="2024-01-10T00:00:00"/>
        <d v="2024-03-19T00:00:00"/>
        <d v="2024-02-11T00:00:00"/>
        <d v="2024-02-28T00:00:00"/>
        <d v="2024-01-18T00:00:00"/>
        <d v="2024-01-30T00:00:00"/>
        <d v="2024-04-13T00:00:00"/>
        <d v="2024-05-28T00:00:00"/>
        <d v="2024-06-18T00:00:00"/>
        <d v="2024-03-20T00:00:00"/>
        <d v="2024-05-01T00:00:00"/>
        <d v="2024-06-27T00:00:00"/>
        <d v="2024-06-25T00:00:00"/>
        <d v="2024-02-01T00:00:00"/>
        <d v="2024-03-22T00:00:00"/>
        <d v="2024-06-09T00:00:00"/>
        <d v="2024-03-10T00:00:00"/>
        <d v="2024-04-17T00:00:00"/>
        <d v="2024-01-02T00:00:00"/>
        <d v="2024-05-19T00:00:00"/>
        <d v="2024-05-04T00:00:00"/>
        <d v="2024-04-29T00:00:00"/>
        <d v="2024-01-06T00:00:00"/>
        <d v="2024-01-07T00:00:00"/>
        <d v="2024-05-31T00:00:00"/>
        <d v="2024-01-31T00:00:00"/>
        <d v="2024-05-05T00:00:00"/>
        <d v="2024-05-03T00:00:00"/>
        <d v="2024-01-23T00:00:00"/>
        <d v="2024-06-20T00:00:00"/>
        <d v="2024-06-28T00:00:00"/>
        <d v="2024-03-02T00:00:00"/>
        <d v="2024-02-26T00:00:00"/>
        <d v="2024-05-21T00:00:00"/>
        <d v="2024-03-11T00:00:00"/>
        <d v="2024-02-17T00:00:00"/>
        <d v="2024-05-24T00:00:00"/>
        <d v="2024-04-16T00:00:00"/>
        <d v="2024-04-23T00:00:00"/>
        <d v="2024-01-16T00:00:00"/>
        <d v="2024-01-21T00:00:00"/>
        <d v="2024-01-01T00:00:00"/>
        <d v="2024-03-14T00:00:00"/>
        <d v="2024-06-14T00:00:00"/>
        <d v="2024-04-22T00:00:00"/>
        <d v="2024-06-08T00:00:00"/>
        <d v="2024-02-03T00:00:00"/>
        <d v="2024-04-14T00:00:00"/>
        <d v="2024-03-03T00:00:00"/>
        <d v="2024-05-10T00:00:00"/>
        <d v="2024-06-17T00:00:00"/>
        <d v="2024-05-14T00:00:00"/>
        <d v="2024-04-30T00:00:00"/>
        <d v="2024-06-07T00:00:00"/>
        <d v="2024-01-26T00:00:00"/>
        <d v="2024-01-12T00:00:00"/>
        <d v="2024-02-07T00:00:00"/>
        <d v="2024-02-14T00:00:00"/>
        <d v="2024-05-29T00:00:00"/>
        <d v="2024-03-18T00:00:00"/>
        <d v="2024-05-26T00:00:00"/>
        <d v="2024-05-07T00:00:00"/>
        <d v="2024-03-24T00:00:00"/>
        <d v="2024-02-27T00:00:00"/>
        <d v="2024-04-07T00:00:00"/>
        <d v="2024-04-09T00:00:00"/>
        <d v="2024-06-16T00:00:00"/>
        <d v="2024-06-24T00:00:00"/>
        <d v="2024-03-01T00:00:00"/>
        <d v="2024-04-02T00:00:00"/>
        <d v="2024-06-06T00:00:00"/>
        <d v="2024-05-02T00:00:00"/>
        <d v="2024-03-16T00:00:00"/>
      </sharedItems>
      <fieldGroup base="1">
        <rangePr groupBy="months" startDate="2024-01-01T00:00:00" endDate="2024-06-29T00:00:00"/>
        <groupItems count="14">
          <s v="&lt;01/01/202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9/06/2024"/>
        </groupItems>
      </fieldGroup>
    </cacheField>
    <cacheField name="Vendeur" numFmtId="0">
      <sharedItems count="6">
        <s v="Sophie Martin"/>
        <s v="Nicolas Leroy"/>
        <s v="Lucas Bernard"/>
        <s v="Emma Dubois"/>
        <s v="Camille Robert"/>
        <s v="Thomas Petit"/>
      </sharedItems>
    </cacheField>
    <cacheField name="Région" numFmtId="0">
      <sharedItems count="5">
        <s v="Paris"/>
        <s v="Lille"/>
        <s v="Lyon"/>
        <s v="Marseille"/>
        <s v="Bordeaux"/>
      </sharedItems>
    </cacheField>
    <cacheField name="Catégorie" numFmtId="0">
      <sharedItems count="4">
        <s v="Accessoires"/>
        <s v="Hauts"/>
        <s v="Bas"/>
        <s v="Chaussures"/>
      </sharedItems>
    </cacheField>
    <cacheField name="Produit" numFmtId="0">
      <sharedItems count="20">
        <s v="Echarpe laine"/>
        <s v="Blouse fleurie"/>
        <s v="Jupe midi"/>
        <s v="Bottines"/>
        <s v="Mocassins"/>
        <s v="Sweat à capuche"/>
        <s v="Portefeuille"/>
        <s v="Chemise oxford"/>
        <s v="Sac à main"/>
        <s v="Ceinture cuir"/>
        <s v="Legging sport"/>
        <s v="Short cargo"/>
        <s v="Sandales"/>
        <s v="Bottes cuir"/>
        <s v="Bonnet"/>
        <s v="Pull laine"/>
        <s v="Sneakers"/>
        <s v="Jean slim"/>
        <s v="T-shirt basique"/>
        <s v="Pantalon chino"/>
      </sharedItems>
    </cacheField>
    <cacheField name="Quantité" numFmtId="0">
      <sharedItems containsSemiMixedTypes="0" containsString="0" containsNumber="1" containsInteger="1" minValue="0" maxValue="5"/>
    </cacheField>
    <cacheField name="Prix_Unitaire" numFmtId="164">
      <sharedItems containsSemiMixedTypes="0" containsString="0" containsNumber="1" containsInteger="1" minValue="20" maxValue="150"/>
    </cacheField>
    <cacheField name="Remise_%" numFmtId="165">
      <sharedItems containsSemiMixedTypes="0" containsString="0" containsNumber="1" containsInteger="1" minValue="0" maxValue="20"/>
    </cacheField>
    <cacheField name="CA_Net" numFmtId="164">
      <sharedItems containsSemiMixedTypes="0" containsString="0" containsNumber="1" minValue="0" maxValue="750"/>
    </cacheField>
    <cacheField name="Stats" numFmtId="0">
      <sharedItems containsBlank="1"/>
    </cacheField>
    <cacheField name="chiffre" numFmtId="0">
      <sharedItems containsString="0" containsBlank="1" containsNumber="1" minValue="67.449494949494948" maxValue="37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8">
  <r>
    <n v="1"/>
    <x v="0"/>
    <x v="0"/>
    <x v="0"/>
    <x v="0"/>
    <x v="0"/>
    <n v="2"/>
    <n v="30"/>
    <n v="0"/>
    <n v="60"/>
    <s v="Nombre de Ventes "/>
    <n v="198"/>
  </r>
  <r>
    <n v="2"/>
    <x v="1"/>
    <x v="1"/>
    <x v="1"/>
    <x v="1"/>
    <x v="1"/>
    <n v="4"/>
    <n v="45"/>
    <n v="0"/>
    <n v="180"/>
    <s v="CA total brut"/>
    <n v="37991"/>
  </r>
  <r>
    <n v="3"/>
    <x v="2"/>
    <x v="0"/>
    <x v="2"/>
    <x v="2"/>
    <x v="2"/>
    <n v="5"/>
    <n v="65"/>
    <n v="0"/>
    <n v="325"/>
    <s v="Prix unitaire moyen"/>
    <n v="67.449494949494948"/>
  </r>
  <r>
    <n v="4"/>
    <x v="3"/>
    <x v="2"/>
    <x v="1"/>
    <x v="3"/>
    <x v="3"/>
    <n v="4"/>
    <n v="120"/>
    <n v="10"/>
    <n v="432"/>
    <s v="Vente la plus élevée"/>
    <n v="750"/>
  </r>
  <r>
    <n v="5"/>
    <x v="4"/>
    <x v="0"/>
    <x v="2"/>
    <x v="3"/>
    <x v="4"/>
    <n v="3"/>
    <n v="85"/>
    <n v="0"/>
    <n v="255"/>
    <m/>
    <m/>
  </r>
  <r>
    <n v="6"/>
    <x v="5"/>
    <x v="3"/>
    <x v="0"/>
    <x v="1"/>
    <x v="5"/>
    <n v="1"/>
    <n v="60"/>
    <n v="0"/>
    <n v="60"/>
    <m/>
    <m/>
  </r>
  <r>
    <n v="7"/>
    <x v="6"/>
    <x v="4"/>
    <x v="3"/>
    <x v="1"/>
    <x v="5"/>
    <n v="5"/>
    <n v="60"/>
    <n v="0"/>
    <n v="300"/>
    <m/>
    <m/>
  </r>
  <r>
    <n v="8"/>
    <x v="7"/>
    <x v="0"/>
    <x v="1"/>
    <x v="0"/>
    <x v="6"/>
    <n v="3"/>
    <n v="45"/>
    <n v="10"/>
    <n v="121.5"/>
    <m/>
    <m/>
  </r>
  <r>
    <n v="9"/>
    <x v="8"/>
    <x v="1"/>
    <x v="0"/>
    <x v="1"/>
    <x v="7"/>
    <n v="3"/>
    <n v="55"/>
    <n v="0"/>
    <n v="165"/>
    <m/>
    <m/>
  </r>
  <r>
    <n v="10"/>
    <x v="9"/>
    <x v="0"/>
    <x v="4"/>
    <x v="0"/>
    <x v="8"/>
    <n v="3"/>
    <n v="90"/>
    <n v="0"/>
    <n v="270"/>
    <m/>
    <m/>
  </r>
  <r>
    <n v="11"/>
    <x v="10"/>
    <x v="3"/>
    <x v="2"/>
    <x v="0"/>
    <x v="9"/>
    <n v="5"/>
    <n v="35"/>
    <n v="15"/>
    <n v="148.75"/>
    <m/>
    <m/>
  </r>
  <r>
    <n v="12"/>
    <x v="11"/>
    <x v="4"/>
    <x v="2"/>
    <x v="2"/>
    <x v="10"/>
    <n v="4"/>
    <n v="40"/>
    <n v="0"/>
    <n v="160"/>
    <m/>
    <m/>
  </r>
  <r>
    <n v="13"/>
    <x v="0"/>
    <x v="1"/>
    <x v="1"/>
    <x v="2"/>
    <x v="11"/>
    <n v="1"/>
    <n v="50"/>
    <n v="0"/>
    <n v="50"/>
    <m/>
    <m/>
  </r>
  <r>
    <n v="14"/>
    <x v="12"/>
    <x v="3"/>
    <x v="4"/>
    <x v="0"/>
    <x v="9"/>
    <n v="2"/>
    <n v="35"/>
    <n v="10"/>
    <n v="63"/>
    <m/>
    <m/>
  </r>
  <r>
    <n v="15"/>
    <x v="13"/>
    <x v="2"/>
    <x v="4"/>
    <x v="3"/>
    <x v="12"/>
    <n v="2"/>
    <n v="60"/>
    <n v="0"/>
    <n v="120"/>
    <m/>
    <m/>
  </r>
  <r>
    <n v="16"/>
    <x v="14"/>
    <x v="2"/>
    <x v="1"/>
    <x v="0"/>
    <x v="6"/>
    <n v="4"/>
    <n v="45"/>
    <n v="10"/>
    <n v="162"/>
    <m/>
    <m/>
  </r>
  <r>
    <n v="17"/>
    <x v="15"/>
    <x v="3"/>
    <x v="2"/>
    <x v="2"/>
    <x v="2"/>
    <n v="4"/>
    <n v="65"/>
    <n v="0"/>
    <n v="260"/>
    <m/>
    <m/>
  </r>
  <r>
    <n v="18"/>
    <x v="16"/>
    <x v="0"/>
    <x v="2"/>
    <x v="2"/>
    <x v="10"/>
    <n v="5"/>
    <n v="40"/>
    <n v="0"/>
    <n v="200"/>
    <m/>
    <m/>
  </r>
  <r>
    <n v="19"/>
    <x v="17"/>
    <x v="5"/>
    <x v="1"/>
    <x v="3"/>
    <x v="13"/>
    <n v="3"/>
    <n v="150"/>
    <n v="10"/>
    <n v="405"/>
    <m/>
    <m/>
  </r>
  <r>
    <n v="20"/>
    <x v="18"/>
    <x v="1"/>
    <x v="0"/>
    <x v="0"/>
    <x v="14"/>
    <n v="1"/>
    <n v="20"/>
    <n v="0"/>
    <n v="20"/>
    <m/>
    <m/>
  </r>
  <r>
    <n v="21"/>
    <x v="19"/>
    <x v="2"/>
    <x v="4"/>
    <x v="1"/>
    <x v="15"/>
    <n v="5"/>
    <n v="75"/>
    <n v="20"/>
    <n v="300"/>
    <m/>
    <m/>
  </r>
  <r>
    <n v="22"/>
    <x v="20"/>
    <x v="4"/>
    <x v="0"/>
    <x v="0"/>
    <x v="6"/>
    <n v="5"/>
    <n v="45"/>
    <n v="0"/>
    <n v="225"/>
    <m/>
    <m/>
  </r>
  <r>
    <n v="23"/>
    <x v="21"/>
    <x v="3"/>
    <x v="2"/>
    <x v="1"/>
    <x v="1"/>
    <n v="3"/>
    <n v="45"/>
    <n v="5"/>
    <n v="128.25"/>
    <m/>
    <m/>
  </r>
  <r>
    <n v="24"/>
    <x v="22"/>
    <x v="0"/>
    <x v="3"/>
    <x v="0"/>
    <x v="0"/>
    <n v="1"/>
    <n v="30"/>
    <n v="0"/>
    <n v="30"/>
    <m/>
    <m/>
  </r>
  <r>
    <n v="25"/>
    <x v="23"/>
    <x v="0"/>
    <x v="0"/>
    <x v="3"/>
    <x v="16"/>
    <n v="5"/>
    <n v="95"/>
    <n v="20"/>
    <n v="380"/>
    <m/>
    <m/>
  </r>
  <r>
    <n v="26"/>
    <x v="24"/>
    <x v="2"/>
    <x v="4"/>
    <x v="2"/>
    <x v="11"/>
    <n v="5"/>
    <n v="50"/>
    <n v="20"/>
    <n v="200"/>
    <m/>
    <m/>
  </r>
  <r>
    <n v="27"/>
    <x v="25"/>
    <x v="5"/>
    <x v="2"/>
    <x v="2"/>
    <x v="11"/>
    <n v="4"/>
    <n v="50"/>
    <n v="15"/>
    <n v="170"/>
    <m/>
    <m/>
  </r>
  <r>
    <n v="28"/>
    <x v="26"/>
    <x v="3"/>
    <x v="4"/>
    <x v="3"/>
    <x v="16"/>
    <n v="2"/>
    <n v="95"/>
    <n v="0"/>
    <n v="190"/>
    <m/>
    <m/>
  </r>
  <r>
    <n v="29"/>
    <x v="27"/>
    <x v="3"/>
    <x v="0"/>
    <x v="2"/>
    <x v="2"/>
    <n v="2"/>
    <n v="65"/>
    <n v="0"/>
    <n v="130"/>
    <m/>
    <m/>
  </r>
  <r>
    <n v="30"/>
    <x v="28"/>
    <x v="1"/>
    <x v="0"/>
    <x v="2"/>
    <x v="17"/>
    <n v="1"/>
    <n v="80"/>
    <n v="20"/>
    <n v="64"/>
    <m/>
    <m/>
  </r>
  <r>
    <n v="31"/>
    <x v="29"/>
    <x v="0"/>
    <x v="1"/>
    <x v="2"/>
    <x v="11"/>
    <n v="4"/>
    <n v="50"/>
    <n v="0"/>
    <n v="200"/>
    <m/>
    <m/>
  </r>
  <r>
    <n v="32"/>
    <x v="30"/>
    <x v="2"/>
    <x v="1"/>
    <x v="3"/>
    <x v="3"/>
    <n v="4"/>
    <n v="120"/>
    <n v="20"/>
    <n v="384"/>
    <m/>
    <m/>
  </r>
  <r>
    <n v="34"/>
    <x v="31"/>
    <x v="5"/>
    <x v="0"/>
    <x v="1"/>
    <x v="18"/>
    <n v="4"/>
    <n v="25"/>
    <n v="15"/>
    <n v="85"/>
    <m/>
    <m/>
  </r>
  <r>
    <n v="35"/>
    <x v="32"/>
    <x v="0"/>
    <x v="2"/>
    <x v="2"/>
    <x v="19"/>
    <n v="5"/>
    <n v="70"/>
    <n v="5"/>
    <n v="332.5"/>
    <m/>
    <m/>
  </r>
  <r>
    <n v="36"/>
    <x v="14"/>
    <x v="5"/>
    <x v="2"/>
    <x v="0"/>
    <x v="8"/>
    <n v="2"/>
    <n v="90"/>
    <n v="20"/>
    <n v="144"/>
    <m/>
    <m/>
  </r>
  <r>
    <n v="37"/>
    <x v="33"/>
    <x v="5"/>
    <x v="1"/>
    <x v="1"/>
    <x v="18"/>
    <n v="5"/>
    <n v="25"/>
    <n v="20"/>
    <n v="100"/>
    <m/>
    <m/>
  </r>
  <r>
    <n v="38"/>
    <x v="34"/>
    <x v="0"/>
    <x v="2"/>
    <x v="2"/>
    <x v="10"/>
    <n v="4"/>
    <n v="40"/>
    <n v="5"/>
    <n v="152"/>
    <m/>
    <m/>
  </r>
  <r>
    <n v="39"/>
    <x v="35"/>
    <x v="5"/>
    <x v="0"/>
    <x v="2"/>
    <x v="10"/>
    <n v="1"/>
    <n v="40"/>
    <n v="5"/>
    <n v="38"/>
    <m/>
    <m/>
  </r>
  <r>
    <n v="40"/>
    <x v="36"/>
    <x v="5"/>
    <x v="3"/>
    <x v="3"/>
    <x v="13"/>
    <n v="4"/>
    <n v="150"/>
    <n v="0"/>
    <n v="600"/>
    <m/>
    <m/>
  </r>
  <r>
    <n v="41"/>
    <x v="37"/>
    <x v="3"/>
    <x v="2"/>
    <x v="1"/>
    <x v="1"/>
    <n v="5"/>
    <n v="45"/>
    <n v="0"/>
    <n v="225"/>
    <m/>
    <m/>
  </r>
  <r>
    <n v="42"/>
    <x v="13"/>
    <x v="0"/>
    <x v="0"/>
    <x v="3"/>
    <x v="13"/>
    <n v="5"/>
    <n v="150"/>
    <n v="0"/>
    <n v="750"/>
    <m/>
    <m/>
  </r>
  <r>
    <n v="43"/>
    <x v="38"/>
    <x v="4"/>
    <x v="0"/>
    <x v="2"/>
    <x v="17"/>
    <n v="5"/>
    <n v="80"/>
    <n v="0"/>
    <n v="400"/>
    <m/>
    <m/>
  </r>
  <r>
    <n v="44"/>
    <x v="39"/>
    <x v="2"/>
    <x v="4"/>
    <x v="1"/>
    <x v="1"/>
    <n v="2"/>
    <n v="45"/>
    <n v="10"/>
    <n v="81"/>
    <m/>
    <m/>
  </r>
  <r>
    <n v="45"/>
    <x v="40"/>
    <x v="0"/>
    <x v="1"/>
    <x v="1"/>
    <x v="5"/>
    <n v="5"/>
    <n v="60"/>
    <n v="10"/>
    <n v="270"/>
    <m/>
    <m/>
  </r>
  <r>
    <n v="46"/>
    <x v="41"/>
    <x v="3"/>
    <x v="3"/>
    <x v="2"/>
    <x v="11"/>
    <n v="2"/>
    <n v="50"/>
    <n v="0"/>
    <n v="100"/>
    <m/>
    <m/>
  </r>
  <r>
    <n v="47"/>
    <x v="42"/>
    <x v="2"/>
    <x v="3"/>
    <x v="3"/>
    <x v="4"/>
    <n v="1"/>
    <n v="85"/>
    <n v="0"/>
    <n v="85"/>
    <m/>
    <m/>
  </r>
  <r>
    <n v="48"/>
    <x v="43"/>
    <x v="4"/>
    <x v="1"/>
    <x v="1"/>
    <x v="18"/>
    <n v="5"/>
    <n v="25"/>
    <n v="0"/>
    <n v="125"/>
    <m/>
    <m/>
  </r>
  <r>
    <n v="49"/>
    <x v="44"/>
    <x v="3"/>
    <x v="2"/>
    <x v="0"/>
    <x v="9"/>
    <n v="2"/>
    <n v="35"/>
    <n v="0"/>
    <n v="70"/>
    <m/>
    <m/>
  </r>
  <r>
    <n v="50"/>
    <x v="45"/>
    <x v="2"/>
    <x v="4"/>
    <x v="0"/>
    <x v="6"/>
    <n v="5"/>
    <n v="45"/>
    <n v="0"/>
    <n v="225"/>
    <m/>
    <m/>
  </r>
  <r>
    <n v="51"/>
    <x v="46"/>
    <x v="4"/>
    <x v="3"/>
    <x v="1"/>
    <x v="7"/>
    <n v="3"/>
    <n v="55"/>
    <n v="0"/>
    <n v="165"/>
    <m/>
    <m/>
  </r>
  <r>
    <n v="52"/>
    <x v="47"/>
    <x v="1"/>
    <x v="1"/>
    <x v="2"/>
    <x v="11"/>
    <n v="3"/>
    <n v="50"/>
    <n v="10"/>
    <n v="135"/>
    <m/>
    <m/>
  </r>
  <r>
    <n v="53"/>
    <x v="48"/>
    <x v="1"/>
    <x v="3"/>
    <x v="2"/>
    <x v="11"/>
    <n v="5"/>
    <n v="50"/>
    <n v="5"/>
    <n v="237.5"/>
    <m/>
    <m/>
  </r>
  <r>
    <n v="54"/>
    <x v="49"/>
    <x v="0"/>
    <x v="0"/>
    <x v="3"/>
    <x v="4"/>
    <n v="1"/>
    <n v="85"/>
    <n v="0"/>
    <n v="85"/>
    <m/>
    <m/>
  </r>
  <r>
    <n v="55"/>
    <x v="50"/>
    <x v="2"/>
    <x v="3"/>
    <x v="2"/>
    <x v="10"/>
    <n v="0"/>
    <n v="40"/>
    <n v="15"/>
    <n v="0"/>
    <m/>
    <m/>
  </r>
  <r>
    <n v="56"/>
    <x v="51"/>
    <x v="4"/>
    <x v="0"/>
    <x v="1"/>
    <x v="18"/>
    <n v="2"/>
    <n v="25"/>
    <n v="10"/>
    <n v="45"/>
    <m/>
    <m/>
  </r>
  <r>
    <n v="57"/>
    <x v="52"/>
    <x v="3"/>
    <x v="1"/>
    <x v="2"/>
    <x v="10"/>
    <n v="2"/>
    <n v="40"/>
    <n v="0"/>
    <n v="80"/>
    <m/>
    <m/>
  </r>
  <r>
    <n v="58"/>
    <x v="53"/>
    <x v="3"/>
    <x v="0"/>
    <x v="0"/>
    <x v="0"/>
    <n v="2"/>
    <n v="30"/>
    <n v="15"/>
    <n v="51"/>
    <m/>
    <m/>
  </r>
  <r>
    <n v="59"/>
    <x v="1"/>
    <x v="3"/>
    <x v="1"/>
    <x v="3"/>
    <x v="13"/>
    <n v="2"/>
    <n v="150"/>
    <n v="0"/>
    <n v="300"/>
    <m/>
    <m/>
  </r>
  <r>
    <n v="60"/>
    <x v="54"/>
    <x v="2"/>
    <x v="4"/>
    <x v="1"/>
    <x v="7"/>
    <n v="3"/>
    <n v="55"/>
    <n v="20"/>
    <n v="132"/>
    <m/>
    <m/>
  </r>
  <r>
    <n v="61"/>
    <x v="31"/>
    <x v="1"/>
    <x v="2"/>
    <x v="0"/>
    <x v="0"/>
    <n v="1"/>
    <n v="30"/>
    <n v="5"/>
    <n v="28.5"/>
    <m/>
    <m/>
  </r>
  <r>
    <n v="62"/>
    <x v="52"/>
    <x v="5"/>
    <x v="2"/>
    <x v="2"/>
    <x v="10"/>
    <n v="3"/>
    <n v="40"/>
    <n v="0"/>
    <n v="120"/>
    <m/>
    <m/>
  </r>
  <r>
    <n v="63"/>
    <x v="55"/>
    <x v="2"/>
    <x v="0"/>
    <x v="2"/>
    <x v="10"/>
    <n v="3"/>
    <n v="40"/>
    <n v="0"/>
    <n v="120"/>
    <m/>
    <m/>
  </r>
  <r>
    <n v="64"/>
    <x v="56"/>
    <x v="3"/>
    <x v="3"/>
    <x v="3"/>
    <x v="13"/>
    <n v="3"/>
    <n v="150"/>
    <n v="0"/>
    <n v="450"/>
    <m/>
    <m/>
  </r>
  <r>
    <n v="65"/>
    <x v="57"/>
    <x v="3"/>
    <x v="2"/>
    <x v="0"/>
    <x v="9"/>
    <n v="1"/>
    <n v="35"/>
    <n v="10"/>
    <n v="31.5"/>
    <m/>
    <m/>
  </r>
  <r>
    <n v="66"/>
    <x v="19"/>
    <x v="3"/>
    <x v="3"/>
    <x v="3"/>
    <x v="13"/>
    <n v="5"/>
    <n v="150"/>
    <n v="0"/>
    <n v="750"/>
    <m/>
    <m/>
  </r>
  <r>
    <n v="67"/>
    <x v="17"/>
    <x v="4"/>
    <x v="2"/>
    <x v="0"/>
    <x v="9"/>
    <n v="4"/>
    <n v="35"/>
    <n v="0"/>
    <n v="140"/>
    <m/>
    <m/>
  </r>
  <r>
    <n v="68"/>
    <x v="41"/>
    <x v="4"/>
    <x v="2"/>
    <x v="0"/>
    <x v="8"/>
    <n v="1"/>
    <n v="90"/>
    <n v="15"/>
    <n v="76.5"/>
    <m/>
    <m/>
  </r>
  <r>
    <n v="69"/>
    <x v="29"/>
    <x v="4"/>
    <x v="3"/>
    <x v="1"/>
    <x v="15"/>
    <n v="5"/>
    <n v="75"/>
    <n v="0"/>
    <n v="375"/>
    <m/>
    <m/>
  </r>
  <r>
    <n v="70"/>
    <x v="46"/>
    <x v="5"/>
    <x v="3"/>
    <x v="3"/>
    <x v="4"/>
    <n v="5"/>
    <n v="85"/>
    <n v="0"/>
    <n v="425"/>
    <m/>
    <m/>
  </r>
  <r>
    <n v="71"/>
    <x v="8"/>
    <x v="5"/>
    <x v="4"/>
    <x v="2"/>
    <x v="2"/>
    <n v="5"/>
    <n v="65"/>
    <n v="0"/>
    <n v="325"/>
    <m/>
    <m/>
  </r>
  <r>
    <n v="72"/>
    <x v="58"/>
    <x v="4"/>
    <x v="0"/>
    <x v="0"/>
    <x v="14"/>
    <n v="2"/>
    <n v="20"/>
    <n v="5"/>
    <n v="38"/>
    <m/>
    <m/>
  </r>
  <r>
    <n v="73"/>
    <x v="59"/>
    <x v="4"/>
    <x v="3"/>
    <x v="3"/>
    <x v="12"/>
    <n v="4"/>
    <n v="60"/>
    <n v="15"/>
    <n v="204"/>
    <m/>
    <m/>
  </r>
  <r>
    <n v="74"/>
    <x v="35"/>
    <x v="4"/>
    <x v="4"/>
    <x v="2"/>
    <x v="17"/>
    <n v="3"/>
    <n v="80"/>
    <n v="10"/>
    <n v="216"/>
    <m/>
    <m/>
  </r>
  <r>
    <n v="75"/>
    <x v="60"/>
    <x v="1"/>
    <x v="1"/>
    <x v="0"/>
    <x v="9"/>
    <n v="2"/>
    <n v="35"/>
    <n v="15"/>
    <n v="59.5"/>
    <m/>
    <m/>
  </r>
  <r>
    <n v="76"/>
    <x v="61"/>
    <x v="2"/>
    <x v="2"/>
    <x v="2"/>
    <x v="17"/>
    <n v="1"/>
    <n v="80"/>
    <n v="0"/>
    <n v="80"/>
    <m/>
    <m/>
  </r>
  <r>
    <n v="77"/>
    <x v="62"/>
    <x v="4"/>
    <x v="0"/>
    <x v="3"/>
    <x v="12"/>
    <n v="5"/>
    <n v="60"/>
    <n v="0"/>
    <n v="300"/>
    <m/>
    <m/>
  </r>
  <r>
    <n v="78"/>
    <x v="63"/>
    <x v="5"/>
    <x v="4"/>
    <x v="3"/>
    <x v="3"/>
    <n v="2"/>
    <n v="120"/>
    <n v="15"/>
    <n v="204"/>
    <m/>
    <m/>
  </r>
  <r>
    <n v="79"/>
    <x v="64"/>
    <x v="0"/>
    <x v="0"/>
    <x v="3"/>
    <x v="3"/>
    <n v="2"/>
    <n v="120"/>
    <n v="20"/>
    <n v="192"/>
    <m/>
    <m/>
  </r>
  <r>
    <n v="80"/>
    <x v="63"/>
    <x v="4"/>
    <x v="4"/>
    <x v="1"/>
    <x v="1"/>
    <n v="2"/>
    <n v="45"/>
    <n v="20"/>
    <n v="72"/>
    <m/>
    <m/>
  </r>
  <r>
    <n v="81"/>
    <x v="65"/>
    <x v="5"/>
    <x v="2"/>
    <x v="3"/>
    <x v="13"/>
    <n v="5"/>
    <n v="150"/>
    <n v="10"/>
    <n v="675"/>
    <m/>
    <m/>
  </r>
  <r>
    <n v="82"/>
    <x v="66"/>
    <x v="5"/>
    <x v="1"/>
    <x v="3"/>
    <x v="13"/>
    <n v="4"/>
    <n v="150"/>
    <n v="0"/>
    <n v="600"/>
    <m/>
    <m/>
  </r>
  <r>
    <n v="83"/>
    <x v="62"/>
    <x v="5"/>
    <x v="3"/>
    <x v="2"/>
    <x v="11"/>
    <n v="5"/>
    <n v="50"/>
    <n v="5"/>
    <n v="237.5"/>
    <m/>
    <m/>
  </r>
  <r>
    <n v="84"/>
    <x v="67"/>
    <x v="2"/>
    <x v="3"/>
    <x v="3"/>
    <x v="16"/>
    <n v="3"/>
    <n v="95"/>
    <n v="0"/>
    <n v="285"/>
    <m/>
    <m/>
  </r>
  <r>
    <n v="85"/>
    <x v="68"/>
    <x v="3"/>
    <x v="3"/>
    <x v="1"/>
    <x v="7"/>
    <n v="2"/>
    <n v="55"/>
    <n v="0"/>
    <n v="110"/>
    <m/>
    <m/>
  </r>
  <r>
    <n v="86"/>
    <x v="17"/>
    <x v="1"/>
    <x v="2"/>
    <x v="2"/>
    <x v="17"/>
    <n v="4"/>
    <n v="80"/>
    <n v="5"/>
    <n v="304"/>
    <m/>
    <m/>
  </r>
  <r>
    <n v="87"/>
    <x v="29"/>
    <x v="4"/>
    <x v="4"/>
    <x v="3"/>
    <x v="16"/>
    <n v="2"/>
    <n v="95"/>
    <n v="20"/>
    <n v="152"/>
    <m/>
    <m/>
  </r>
  <r>
    <n v="88"/>
    <x v="69"/>
    <x v="5"/>
    <x v="1"/>
    <x v="1"/>
    <x v="1"/>
    <n v="4"/>
    <n v="45"/>
    <n v="5"/>
    <n v="171"/>
    <m/>
    <m/>
  </r>
  <r>
    <n v="89"/>
    <x v="70"/>
    <x v="3"/>
    <x v="3"/>
    <x v="3"/>
    <x v="12"/>
    <n v="5"/>
    <n v="60"/>
    <n v="15"/>
    <n v="255"/>
    <m/>
    <m/>
  </r>
  <r>
    <n v="90"/>
    <x v="71"/>
    <x v="4"/>
    <x v="2"/>
    <x v="3"/>
    <x v="3"/>
    <n v="3"/>
    <n v="120"/>
    <n v="5"/>
    <n v="342"/>
    <m/>
    <m/>
  </r>
  <r>
    <n v="91"/>
    <x v="72"/>
    <x v="0"/>
    <x v="4"/>
    <x v="0"/>
    <x v="8"/>
    <n v="2"/>
    <n v="90"/>
    <n v="20"/>
    <n v="144"/>
    <m/>
    <m/>
  </r>
  <r>
    <n v="92"/>
    <x v="73"/>
    <x v="2"/>
    <x v="1"/>
    <x v="1"/>
    <x v="5"/>
    <n v="5"/>
    <n v="60"/>
    <n v="10"/>
    <n v="270"/>
    <m/>
    <m/>
  </r>
  <r>
    <n v="93"/>
    <x v="60"/>
    <x v="0"/>
    <x v="0"/>
    <x v="3"/>
    <x v="3"/>
    <n v="4"/>
    <n v="120"/>
    <n v="0"/>
    <n v="480"/>
    <m/>
    <m/>
  </r>
  <r>
    <n v="94"/>
    <x v="16"/>
    <x v="3"/>
    <x v="4"/>
    <x v="0"/>
    <x v="0"/>
    <n v="4"/>
    <n v="30"/>
    <n v="0"/>
    <n v="120"/>
    <m/>
    <m/>
  </r>
  <r>
    <n v="95"/>
    <x v="32"/>
    <x v="5"/>
    <x v="3"/>
    <x v="3"/>
    <x v="4"/>
    <n v="1"/>
    <n v="85"/>
    <n v="5"/>
    <n v="80.75"/>
    <m/>
    <m/>
  </r>
  <r>
    <n v="96"/>
    <x v="22"/>
    <x v="1"/>
    <x v="1"/>
    <x v="1"/>
    <x v="15"/>
    <n v="2"/>
    <n v="75"/>
    <n v="15"/>
    <n v="127.5"/>
    <m/>
    <m/>
  </r>
  <r>
    <n v="97"/>
    <x v="56"/>
    <x v="1"/>
    <x v="0"/>
    <x v="1"/>
    <x v="7"/>
    <n v="2"/>
    <n v="55"/>
    <n v="20"/>
    <n v="88"/>
    <m/>
    <m/>
  </r>
  <r>
    <n v="98"/>
    <x v="74"/>
    <x v="4"/>
    <x v="2"/>
    <x v="2"/>
    <x v="19"/>
    <n v="4"/>
    <n v="70"/>
    <n v="15"/>
    <n v="238"/>
    <m/>
    <m/>
  </r>
  <r>
    <n v="100"/>
    <x v="25"/>
    <x v="4"/>
    <x v="0"/>
    <x v="2"/>
    <x v="11"/>
    <n v="1"/>
    <n v="50"/>
    <n v="10"/>
    <n v="45"/>
    <m/>
    <m/>
  </r>
  <r>
    <n v="101"/>
    <x v="75"/>
    <x v="3"/>
    <x v="1"/>
    <x v="3"/>
    <x v="12"/>
    <n v="2"/>
    <n v="60"/>
    <n v="0"/>
    <n v="120"/>
    <m/>
    <m/>
  </r>
  <r>
    <n v="102"/>
    <x v="76"/>
    <x v="1"/>
    <x v="2"/>
    <x v="1"/>
    <x v="15"/>
    <n v="5"/>
    <n v="75"/>
    <n v="20"/>
    <n v="300"/>
    <m/>
    <m/>
  </r>
  <r>
    <n v="103"/>
    <x v="77"/>
    <x v="4"/>
    <x v="0"/>
    <x v="0"/>
    <x v="6"/>
    <n v="4"/>
    <n v="45"/>
    <n v="15"/>
    <n v="153"/>
    <m/>
    <m/>
  </r>
  <r>
    <n v="104"/>
    <x v="10"/>
    <x v="0"/>
    <x v="1"/>
    <x v="0"/>
    <x v="9"/>
    <n v="4"/>
    <n v="35"/>
    <n v="20"/>
    <n v="112"/>
    <m/>
    <m/>
  </r>
  <r>
    <n v="105"/>
    <x v="78"/>
    <x v="0"/>
    <x v="4"/>
    <x v="0"/>
    <x v="8"/>
    <n v="2"/>
    <n v="90"/>
    <n v="5"/>
    <n v="171"/>
    <m/>
    <m/>
  </r>
  <r>
    <n v="106"/>
    <x v="20"/>
    <x v="1"/>
    <x v="1"/>
    <x v="0"/>
    <x v="6"/>
    <n v="5"/>
    <n v="45"/>
    <n v="20"/>
    <n v="180"/>
    <m/>
    <m/>
  </r>
  <r>
    <n v="107"/>
    <x v="79"/>
    <x v="5"/>
    <x v="4"/>
    <x v="0"/>
    <x v="14"/>
    <n v="2"/>
    <n v="20"/>
    <n v="20"/>
    <n v="32"/>
    <m/>
    <m/>
  </r>
  <r>
    <n v="108"/>
    <x v="80"/>
    <x v="3"/>
    <x v="4"/>
    <x v="2"/>
    <x v="10"/>
    <n v="5"/>
    <n v="40"/>
    <n v="10"/>
    <n v="180"/>
    <m/>
    <m/>
  </r>
  <r>
    <n v="109"/>
    <x v="81"/>
    <x v="5"/>
    <x v="3"/>
    <x v="1"/>
    <x v="5"/>
    <n v="3"/>
    <n v="60"/>
    <n v="0"/>
    <n v="180"/>
    <m/>
    <m/>
  </r>
  <r>
    <n v="110"/>
    <x v="72"/>
    <x v="2"/>
    <x v="3"/>
    <x v="0"/>
    <x v="14"/>
    <n v="3"/>
    <n v="20"/>
    <n v="10"/>
    <n v="54"/>
    <m/>
    <m/>
  </r>
  <r>
    <n v="111"/>
    <x v="82"/>
    <x v="3"/>
    <x v="1"/>
    <x v="1"/>
    <x v="1"/>
    <n v="2"/>
    <n v="45"/>
    <n v="0"/>
    <n v="90"/>
    <m/>
    <m/>
  </r>
  <r>
    <n v="112"/>
    <x v="83"/>
    <x v="1"/>
    <x v="4"/>
    <x v="3"/>
    <x v="13"/>
    <n v="2"/>
    <n v="150"/>
    <n v="15"/>
    <n v="255"/>
    <m/>
    <m/>
  </r>
  <r>
    <n v="113"/>
    <x v="62"/>
    <x v="1"/>
    <x v="4"/>
    <x v="3"/>
    <x v="16"/>
    <n v="1"/>
    <n v="95"/>
    <n v="0"/>
    <n v="95"/>
    <m/>
    <m/>
  </r>
  <r>
    <n v="114"/>
    <x v="84"/>
    <x v="5"/>
    <x v="2"/>
    <x v="0"/>
    <x v="6"/>
    <n v="3"/>
    <n v="45"/>
    <n v="5"/>
    <n v="128.25"/>
    <m/>
    <m/>
  </r>
  <r>
    <n v="115"/>
    <x v="85"/>
    <x v="4"/>
    <x v="3"/>
    <x v="3"/>
    <x v="13"/>
    <n v="3"/>
    <n v="150"/>
    <n v="0"/>
    <n v="450"/>
    <m/>
    <m/>
  </r>
  <r>
    <n v="116"/>
    <x v="82"/>
    <x v="5"/>
    <x v="3"/>
    <x v="0"/>
    <x v="14"/>
    <n v="2"/>
    <n v="20"/>
    <n v="0"/>
    <n v="40"/>
    <m/>
    <m/>
  </r>
  <r>
    <n v="117"/>
    <x v="8"/>
    <x v="3"/>
    <x v="0"/>
    <x v="2"/>
    <x v="19"/>
    <n v="2"/>
    <n v="70"/>
    <n v="15"/>
    <n v="119"/>
    <m/>
    <m/>
  </r>
  <r>
    <n v="118"/>
    <x v="79"/>
    <x v="3"/>
    <x v="1"/>
    <x v="0"/>
    <x v="9"/>
    <n v="2"/>
    <n v="35"/>
    <n v="0"/>
    <n v="70"/>
    <m/>
    <m/>
  </r>
  <r>
    <n v="119"/>
    <x v="55"/>
    <x v="3"/>
    <x v="2"/>
    <x v="0"/>
    <x v="9"/>
    <n v="5"/>
    <n v="35"/>
    <n v="0"/>
    <n v="175"/>
    <m/>
    <m/>
  </r>
  <r>
    <n v="120"/>
    <x v="86"/>
    <x v="0"/>
    <x v="0"/>
    <x v="0"/>
    <x v="0"/>
    <n v="4"/>
    <n v="30"/>
    <n v="0"/>
    <n v="120"/>
    <m/>
    <m/>
  </r>
  <r>
    <n v="121"/>
    <x v="34"/>
    <x v="4"/>
    <x v="3"/>
    <x v="3"/>
    <x v="12"/>
    <n v="4"/>
    <n v="60"/>
    <n v="0"/>
    <n v="240"/>
    <m/>
    <m/>
  </r>
  <r>
    <n v="122"/>
    <x v="87"/>
    <x v="0"/>
    <x v="3"/>
    <x v="3"/>
    <x v="16"/>
    <n v="1"/>
    <n v="95"/>
    <n v="5"/>
    <n v="90.25"/>
    <m/>
    <m/>
  </r>
  <r>
    <n v="123"/>
    <x v="78"/>
    <x v="0"/>
    <x v="1"/>
    <x v="1"/>
    <x v="7"/>
    <n v="2"/>
    <n v="55"/>
    <n v="20"/>
    <n v="88"/>
    <m/>
    <m/>
  </r>
  <r>
    <n v="124"/>
    <x v="88"/>
    <x v="3"/>
    <x v="0"/>
    <x v="2"/>
    <x v="17"/>
    <n v="5"/>
    <n v="80"/>
    <n v="20"/>
    <n v="320"/>
    <m/>
    <m/>
  </r>
  <r>
    <n v="125"/>
    <x v="89"/>
    <x v="4"/>
    <x v="1"/>
    <x v="2"/>
    <x v="2"/>
    <n v="4"/>
    <n v="65"/>
    <n v="5"/>
    <n v="247"/>
    <m/>
    <m/>
  </r>
  <r>
    <n v="126"/>
    <x v="90"/>
    <x v="3"/>
    <x v="1"/>
    <x v="3"/>
    <x v="4"/>
    <n v="5"/>
    <n v="85"/>
    <n v="10"/>
    <n v="382.5"/>
    <m/>
    <m/>
  </r>
  <r>
    <n v="127"/>
    <x v="91"/>
    <x v="4"/>
    <x v="0"/>
    <x v="2"/>
    <x v="19"/>
    <n v="3"/>
    <n v="70"/>
    <n v="15"/>
    <n v="178.5"/>
    <m/>
    <m/>
  </r>
  <r>
    <n v="128"/>
    <x v="92"/>
    <x v="2"/>
    <x v="2"/>
    <x v="2"/>
    <x v="2"/>
    <n v="1"/>
    <n v="65"/>
    <n v="0"/>
    <n v="65"/>
    <m/>
    <m/>
  </r>
  <r>
    <n v="129"/>
    <x v="93"/>
    <x v="5"/>
    <x v="4"/>
    <x v="3"/>
    <x v="4"/>
    <n v="1"/>
    <n v="85"/>
    <n v="0"/>
    <n v="85"/>
    <m/>
    <m/>
  </r>
  <r>
    <n v="130"/>
    <x v="94"/>
    <x v="1"/>
    <x v="3"/>
    <x v="3"/>
    <x v="16"/>
    <n v="2"/>
    <n v="95"/>
    <n v="0"/>
    <n v="190"/>
    <m/>
    <m/>
  </r>
  <r>
    <n v="131"/>
    <x v="67"/>
    <x v="4"/>
    <x v="2"/>
    <x v="3"/>
    <x v="16"/>
    <n v="5"/>
    <n v="95"/>
    <n v="0"/>
    <n v="475"/>
    <m/>
    <m/>
  </r>
  <r>
    <n v="132"/>
    <x v="95"/>
    <x v="2"/>
    <x v="3"/>
    <x v="2"/>
    <x v="17"/>
    <n v="1"/>
    <n v="80"/>
    <n v="0"/>
    <n v="80"/>
    <m/>
    <m/>
  </r>
  <r>
    <n v="133"/>
    <x v="53"/>
    <x v="4"/>
    <x v="1"/>
    <x v="0"/>
    <x v="8"/>
    <n v="1"/>
    <n v="90"/>
    <n v="5"/>
    <n v="85.5"/>
    <m/>
    <m/>
  </r>
  <r>
    <n v="134"/>
    <x v="64"/>
    <x v="3"/>
    <x v="4"/>
    <x v="0"/>
    <x v="6"/>
    <n v="5"/>
    <n v="45"/>
    <n v="5"/>
    <n v="213.75"/>
    <m/>
    <m/>
  </r>
  <r>
    <n v="135"/>
    <x v="96"/>
    <x v="0"/>
    <x v="1"/>
    <x v="1"/>
    <x v="5"/>
    <n v="3"/>
    <n v="60"/>
    <n v="10"/>
    <n v="162"/>
    <m/>
    <m/>
  </r>
  <r>
    <n v="136"/>
    <x v="49"/>
    <x v="0"/>
    <x v="0"/>
    <x v="2"/>
    <x v="2"/>
    <n v="5"/>
    <n v="65"/>
    <n v="0"/>
    <n v="325"/>
    <m/>
    <m/>
  </r>
  <r>
    <n v="137"/>
    <x v="39"/>
    <x v="3"/>
    <x v="1"/>
    <x v="1"/>
    <x v="7"/>
    <n v="4"/>
    <n v="55"/>
    <n v="10"/>
    <n v="198"/>
    <m/>
    <m/>
  </r>
  <r>
    <n v="138"/>
    <x v="26"/>
    <x v="5"/>
    <x v="3"/>
    <x v="2"/>
    <x v="2"/>
    <n v="4"/>
    <n v="65"/>
    <n v="15"/>
    <n v="221"/>
    <m/>
    <m/>
  </r>
  <r>
    <n v="139"/>
    <x v="78"/>
    <x v="0"/>
    <x v="4"/>
    <x v="0"/>
    <x v="8"/>
    <n v="3"/>
    <n v="90"/>
    <n v="0"/>
    <n v="270"/>
    <m/>
    <m/>
  </r>
  <r>
    <n v="140"/>
    <x v="81"/>
    <x v="0"/>
    <x v="2"/>
    <x v="0"/>
    <x v="8"/>
    <n v="4"/>
    <n v="90"/>
    <n v="0"/>
    <n v="360"/>
    <m/>
    <m/>
  </r>
  <r>
    <n v="141"/>
    <x v="60"/>
    <x v="5"/>
    <x v="1"/>
    <x v="1"/>
    <x v="5"/>
    <n v="1"/>
    <n v="60"/>
    <n v="0"/>
    <n v="60"/>
    <m/>
    <m/>
  </r>
  <r>
    <n v="142"/>
    <x v="49"/>
    <x v="3"/>
    <x v="0"/>
    <x v="3"/>
    <x v="13"/>
    <n v="1"/>
    <n v="150"/>
    <n v="15"/>
    <n v="127.5"/>
    <m/>
    <m/>
  </r>
  <r>
    <n v="143"/>
    <x v="30"/>
    <x v="5"/>
    <x v="4"/>
    <x v="1"/>
    <x v="7"/>
    <n v="5"/>
    <n v="55"/>
    <n v="0"/>
    <n v="275"/>
    <m/>
    <m/>
  </r>
  <r>
    <n v="144"/>
    <x v="97"/>
    <x v="5"/>
    <x v="4"/>
    <x v="1"/>
    <x v="7"/>
    <n v="3"/>
    <n v="55"/>
    <n v="10"/>
    <n v="148.5"/>
    <m/>
    <m/>
  </r>
  <r>
    <n v="145"/>
    <x v="98"/>
    <x v="3"/>
    <x v="4"/>
    <x v="3"/>
    <x v="16"/>
    <n v="1"/>
    <n v="95"/>
    <n v="15"/>
    <n v="80.75"/>
    <m/>
    <m/>
  </r>
  <r>
    <n v="146"/>
    <x v="25"/>
    <x v="2"/>
    <x v="2"/>
    <x v="0"/>
    <x v="6"/>
    <n v="1"/>
    <n v="45"/>
    <n v="10"/>
    <n v="40.5"/>
    <m/>
    <m/>
  </r>
  <r>
    <n v="147"/>
    <x v="99"/>
    <x v="0"/>
    <x v="2"/>
    <x v="1"/>
    <x v="5"/>
    <n v="1"/>
    <n v="60"/>
    <n v="15"/>
    <n v="51"/>
    <m/>
    <m/>
  </r>
  <r>
    <n v="148"/>
    <x v="21"/>
    <x v="5"/>
    <x v="3"/>
    <x v="0"/>
    <x v="8"/>
    <n v="4"/>
    <n v="90"/>
    <n v="5"/>
    <n v="342"/>
    <m/>
    <m/>
  </r>
  <r>
    <n v="149"/>
    <x v="100"/>
    <x v="5"/>
    <x v="1"/>
    <x v="2"/>
    <x v="10"/>
    <n v="2"/>
    <n v="40"/>
    <n v="10"/>
    <n v="72"/>
    <m/>
    <m/>
  </r>
  <r>
    <n v="150"/>
    <x v="101"/>
    <x v="1"/>
    <x v="2"/>
    <x v="1"/>
    <x v="15"/>
    <n v="4"/>
    <n v="75"/>
    <n v="0"/>
    <n v="300"/>
    <m/>
    <m/>
  </r>
  <r>
    <n v="151"/>
    <x v="44"/>
    <x v="3"/>
    <x v="0"/>
    <x v="0"/>
    <x v="14"/>
    <n v="5"/>
    <n v="20"/>
    <n v="10"/>
    <n v="90"/>
    <m/>
    <m/>
  </r>
  <r>
    <n v="152"/>
    <x v="102"/>
    <x v="5"/>
    <x v="2"/>
    <x v="3"/>
    <x v="13"/>
    <n v="4"/>
    <n v="150"/>
    <n v="0"/>
    <n v="600"/>
    <m/>
    <m/>
  </r>
  <r>
    <n v="153"/>
    <x v="50"/>
    <x v="4"/>
    <x v="1"/>
    <x v="3"/>
    <x v="12"/>
    <n v="3"/>
    <n v="60"/>
    <n v="20"/>
    <n v="144"/>
    <m/>
    <m/>
  </r>
  <r>
    <n v="154"/>
    <x v="37"/>
    <x v="1"/>
    <x v="2"/>
    <x v="3"/>
    <x v="3"/>
    <n v="4"/>
    <n v="120"/>
    <n v="0"/>
    <n v="480"/>
    <m/>
    <m/>
  </r>
  <r>
    <n v="155"/>
    <x v="66"/>
    <x v="1"/>
    <x v="4"/>
    <x v="3"/>
    <x v="12"/>
    <n v="2"/>
    <n v="60"/>
    <n v="5"/>
    <n v="114"/>
    <m/>
    <m/>
  </r>
  <r>
    <n v="156"/>
    <x v="52"/>
    <x v="2"/>
    <x v="1"/>
    <x v="0"/>
    <x v="9"/>
    <n v="4"/>
    <n v="35"/>
    <n v="0"/>
    <n v="140"/>
    <m/>
    <m/>
  </r>
  <r>
    <n v="157"/>
    <x v="103"/>
    <x v="5"/>
    <x v="0"/>
    <x v="2"/>
    <x v="10"/>
    <n v="2"/>
    <n v="40"/>
    <n v="0"/>
    <n v="80"/>
    <m/>
    <m/>
  </r>
  <r>
    <n v="158"/>
    <x v="104"/>
    <x v="3"/>
    <x v="3"/>
    <x v="3"/>
    <x v="16"/>
    <n v="3"/>
    <n v="95"/>
    <n v="20"/>
    <n v="228"/>
    <m/>
    <m/>
  </r>
  <r>
    <n v="159"/>
    <x v="39"/>
    <x v="4"/>
    <x v="4"/>
    <x v="0"/>
    <x v="8"/>
    <n v="5"/>
    <n v="90"/>
    <n v="0"/>
    <n v="450"/>
    <m/>
    <m/>
  </r>
  <r>
    <n v="160"/>
    <x v="105"/>
    <x v="0"/>
    <x v="2"/>
    <x v="0"/>
    <x v="0"/>
    <n v="1"/>
    <n v="30"/>
    <n v="5"/>
    <n v="28.5"/>
    <m/>
    <m/>
  </r>
  <r>
    <n v="161"/>
    <x v="106"/>
    <x v="1"/>
    <x v="0"/>
    <x v="3"/>
    <x v="3"/>
    <n v="3"/>
    <n v="120"/>
    <n v="0"/>
    <n v="360"/>
    <m/>
    <m/>
  </r>
  <r>
    <n v="162"/>
    <x v="107"/>
    <x v="3"/>
    <x v="0"/>
    <x v="0"/>
    <x v="14"/>
    <n v="3"/>
    <n v="20"/>
    <n v="5"/>
    <n v="57"/>
    <m/>
    <m/>
  </r>
  <r>
    <n v="163"/>
    <x v="108"/>
    <x v="2"/>
    <x v="1"/>
    <x v="3"/>
    <x v="13"/>
    <n v="2"/>
    <n v="150"/>
    <n v="0"/>
    <n v="300"/>
    <m/>
    <m/>
  </r>
  <r>
    <n v="164"/>
    <x v="109"/>
    <x v="0"/>
    <x v="1"/>
    <x v="3"/>
    <x v="13"/>
    <n v="2"/>
    <n v="150"/>
    <n v="5"/>
    <n v="285"/>
    <m/>
    <m/>
  </r>
  <r>
    <n v="165"/>
    <x v="110"/>
    <x v="2"/>
    <x v="2"/>
    <x v="3"/>
    <x v="4"/>
    <n v="4"/>
    <n v="85"/>
    <n v="0"/>
    <n v="340"/>
    <m/>
    <m/>
  </r>
  <r>
    <n v="166"/>
    <x v="46"/>
    <x v="0"/>
    <x v="4"/>
    <x v="0"/>
    <x v="6"/>
    <n v="2"/>
    <n v="45"/>
    <n v="0"/>
    <n v="90"/>
    <m/>
    <m/>
  </r>
  <r>
    <n v="167"/>
    <x v="90"/>
    <x v="3"/>
    <x v="1"/>
    <x v="0"/>
    <x v="8"/>
    <n v="3"/>
    <n v="90"/>
    <n v="5"/>
    <n v="256.5"/>
    <m/>
    <m/>
  </r>
  <r>
    <n v="168"/>
    <x v="111"/>
    <x v="2"/>
    <x v="4"/>
    <x v="3"/>
    <x v="16"/>
    <n v="2"/>
    <n v="95"/>
    <n v="5"/>
    <n v="180.5"/>
    <m/>
    <m/>
  </r>
  <r>
    <n v="169"/>
    <x v="112"/>
    <x v="3"/>
    <x v="1"/>
    <x v="0"/>
    <x v="14"/>
    <n v="1"/>
    <n v="20"/>
    <n v="20"/>
    <n v="16"/>
    <m/>
    <m/>
  </r>
  <r>
    <n v="170"/>
    <x v="102"/>
    <x v="5"/>
    <x v="3"/>
    <x v="1"/>
    <x v="1"/>
    <n v="1"/>
    <n v="45"/>
    <n v="10"/>
    <n v="40.5"/>
    <m/>
    <m/>
  </r>
  <r>
    <n v="171"/>
    <x v="113"/>
    <x v="3"/>
    <x v="2"/>
    <x v="0"/>
    <x v="0"/>
    <n v="2"/>
    <n v="30"/>
    <n v="10"/>
    <n v="54"/>
    <m/>
    <m/>
  </r>
  <r>
    <n v="172"/>
    <x v="49"/>
    <x v="1"/>
    <x v="2"/>
    <x v="1"/>
    <x v="18"/>
    <n v="3"/>
    <n v="25"/>
    <n v="20"/>
    <n v="60"/>
    <m/>
    <m/>
  </r>
  <r>
    <n v="173"/>
    <x v="96"/>
    <x v="0"/>
    <x v="1"/>
    <x v="0"/>
    <x v="0"/>
    <n v="1"/>
    <n v="30"/>
    <n v="0"/>
    <n v="30"/>
    <m/>
    <m/>
  </r>
  <r>
    <n v="174"/>
    <x v="114"/>
    <x v="1"/>
    <x v="4"/>
    <x v="2"/>
    <x v="19"/>
    <n v="2"/>
    <n v="70"/>
    <n v="20"/>
    <n v="112"/>
    <m/>
    <m/>
  </r>
  <r>
    <n v="175"/>
    <x v="30"/>
    <x v="3"/>
    <x v="1"/>
    <x v="0"/>
    <x v="0"/>
    <n v="3"/>
    <n v="30"/>
    <n v="20"/>
    <n v="72"/>
    <m/>
    <m/>
  </r>
  <r>
    <n v="176"/>
    <x v="79"/>
    <x v="3"/>
    <x v="3"/>
    <x v="1"/>
    <x v="5"/>
    <n v="1"/>
    <n v="60"/>
    <n v="0"/>
    <n v="60"/>
    <m/>
    <m/>
  </r>
  <r>
    <n v="177"/>
    <x v="115"/>
    <x v="1"/>
    <x v="4"/>
    <x v="0"/>
    <x v="9"/>
    <n v="4"/>
    <n v="35"/>
    <n v="0"/>
    <n v="140"/>
    <m/>
    <m/>
  </r>
  <r>
    <n v="178"/>
    <x v="36"/>
    <x v="4"/>
    <x v="0"/>
    <x v="3"/>
    <x v="4"/>
    <n v="3"/>
    <n v="85"/>
    <n v="10"/>
    <n v="229.5"/>
    <m/>
    <m/>
  </r>
  <r>
    <n v="179"/>
    <x v="116"/>
    <x v="1"/>
    <x v="3"/>
    <x v="1"/>
    <x v="7"/>
    <n v="4"/>
    <n v="55"/>
    <n v="0"/>
    <n v="220"/>
    <m/>
    <m/>
  </r>
  <r>
    <n v="180"/>
    <x v="105"/>
    <x v="4"/>
    <x v="3"/>
    <x v="2"/>
    <x v="17"/>
    <n v="4"/>
    <n v="80"/>
    <n v="15"/>
    <n v="272"/>
    <m/>
    <m/>
  </r>
  <r>
    <n v="181"/>
    <x v="111"/>
    <x v="1"/>
    <x v="4"/>
    <x v="1"/>
    <x v="7"/>
    <n v="1"/>
    <n v="55"/>
    <n v="0"/>
    <n v="55"/>
    <m/>
    <m/>
  </r>
  <r>
    <n v="182"/>
    <x v="111"/>
    <x v="5"/>
    <x v="0"/>
    <x v="1"/>
    <x v="7"/>
    <n v="5"/>
    <n v="55"/>
    <n v="0"/>
    <n v="275"/>
    <m/>
    <m/>
  </r>
  <r>
    <n v="183"/>
    <x v="117"/>
    <x v="5"/>
    <x v="3"/>
    <x v="3"/>
    <x v="13"/>
    <n v="2"/>
    <n v="150"/>
    <n v="5"/>
    <n v="285"/>
    <m/>
    <m/>
  </r>
  <r>
    <n v="184"/>
    <x v="118"/>
    <x v="0"/>
    <x v="4"/>
    <x v="3"/>
    <x v="4"/>
    <n v="1"/>
    <n v="85"/>
    <n v="15"/>
    <n v="72.25"/>
    <m/>
    <m/>
  </r>
  <r>
    <n v="185"/>
    <x v="10"/>
    <x v="2"/>
    <x v="4"/>
    <x v="3"/>
    <x v="3"/>
    <n v="3"/>
    <n v="120"/>
    <n v="0"/>
    <n v="360"/>
    <m/>
    <m/>
  </r>
  <r>
    <n v="186"/>
    <x v="119"/>
    <x v="3"/>
    <x v="1"/>
    <x v="0"/>
    <x v="9"/>
    <n v="4"/>
    <n v="35"/>
    <n v="0"/>
    <n v="140"/>
    <m/>
    <m/>
  </r>
  <r>
    <n v="187"/>
    <x v="37"/>
    <x v="0"/>
    <x v="4"/>
    <x v="1"/>
    <x v="7"/>
    <n v="5"/>
    <n v="55"/>
    <n v="0"/>
    <n v="275"/>
    <m/>
    <m/>
  </r>
  <r>
    <n v="188"/>
    <x v="16"/>
    <x v="3"/>
    <x v="2"/>
    <x v="2"/>
    <x v="2"/>
    <n v="2"/>
    <n v="65"/>
    <n v="0"/>
    <n v="130"/>
    <m/>
    <m/>
  </r>
  <r>
    <n v="189"/>
    <x v="85"/>
    <x v="2"/>
    <x v="1"/>
    <x v="2"/>
    <x v="19"/>
    <n v="3"/>
    <n v="70"/>
    <n v="20"/>
    <n v="168"/>
    <m/>
    <m/>
  </r>
  <r>
    <n v="190"/>
    <x v="108"/>
    <x v="4"/>
    <x v="0"/>
    <x v="0"/>
    <x v="0"/>
    <n v="2"/>
    <n v="30"/>
    <n v="10"/>
    <n v="54"/>
    <m/>
    <m/>
  </r>
  <r>
    <n v="191"/>
    <x v="49"/>
    <x v="2"/>
    <x v="0"/>
    <x v="1"/>
    <x v="7"/>
    <n v="1"/>
    <n v="55"/>
    <n v="0"/>
    <n v="55"/>
    <m/>
    <m/>
  </r>
  <r>
    <n v="192"/>
    <x v="120"/>
    <x v="4"/>
    <x v="3"/>
    <x v="1"/>
    <x v="7"/>
    <n v="3"/>
    <n v="55"/>
    <n v="0"/>
    <n v="165"/>
    <m/>
    <m/>
  </r>
  <r>
    <n v="193"/>
    <x v="24"/>
    <x v="1"/>
    <x v="4"/>
    <x v="1"/>
    <x v="18"/>
    <n v="4"/>
    <n v="25"/>
    <n v="5"/>
    <n v="95"/>
    <m/>
    <m/>
  </r>
  <r>
    <n v="194"/>
    <x v="121"/>
    <x v="4"/>
    <x v="1"/>
    <x v="1"/>
    <x v="5"/>
    <n v="5"/>
    <n v="60"/>
    <n v="0"/>
    <n v="300"/>
    <m/>
    <m/>
  </r>
  <r>
    <n v="195"/>
    <x v="122"/>
    <x v="0"/>
    <x v="1"/>
    <x v="0"/>
    <x v="8"/>
    <n v="1"/>
    <n v="90"/>
    <n v="0"/>
    <n v="90"/>
    <m/>
    <m/>
  </r>
  <r>
    <n v="196"/>
    <x v="123"/>
    <x v="5"/>
    <x v="4"/>
    <x v="1"/>
    <x v="5"/>
    <n v="4"/>
    <n v="60"/>
    <n v="0"/>
    <n v="240"/>
    <m/>
    <m/>
  </r>
  <r>
    <n v="197"/>
    <x v="92"/>
    <x v="3"/>
    <x v="1"/>
    <x v="2"/>
    <x v="17"/>
    <n v="2"/>
    <n v="80"/>
    <n v="0"/>
    <n v="160"/>
    <m/>
    <m/>
  </r>
  <r>
    <n v="198"/>
    <x v="97"/>
    <x v="1"/>
    <x v="1"/>
    <x v="0"/>
    <x v="8"/>
    <n v="5"/>
    <n v="90"/>
    <n v="10"/>
    <n v="405"/>
    <m/>
    <m/>
  </r>
  <r>
    <n v="199"/>
    <x v="124"/>
    <x v="5"/>
    <x v="1"/>
    <x v="3"/>
    <x v="16"/>
    <n v="1"/>
    <n v="95"/>
    <n v="20"/>
    <n v="76"/>
    <m/>
    <m/>
  </r>
  <r>
    <n v="200"/>
    <x v="118"/>
    <x v="1"/>
    <x v="1"/>
    <x v="2"/>
    <x v="10"/>
    <n v="4"/>
    <n v="40"/>
    <n v="0"/>
    <n v="16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7">
  <location ref="E3:J11" firstHeaderRow="1" firstDataRow="2" firstDataCol="1"/>
  <pivotFields count="12">
    <pivotField showAll="0"/>
    <pivotField axis="axisRow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numFmtId="164" showAll="0"/>
    <pivotField numFmtId="165" showAll="0"/>
    <pivotField dataField="1" numFmtId="164" showAll="0"/>
    <pivotField showAll="0"/>
    <pivotField showAll="0"/>
  </pivotFields>
  <rowFields count="1">
    <field x="1"/>
  </rowFields>
  <rowItems count="7">
    <i>
      <x v="6"/>
    </i>
    <i>
      <x v="3"/>
    </i>
    <i>
      <x v="2"/>
    </i>
    <i>
      <x v="5"/>
    </i>
    <i>
      <x v="4"/>
    </i>
    <i>
      <x v="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omme de CA_Net" fld="9" baseField="0" baseItem="0"/>
  </dataFields>
  <chartFormats count="4"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1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7">
  <location ref="A3:B10" firstHeaderRow="1" firstDataRow="1" firstDataCol="1"/>
  <pivotFields count="12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7">
        <item x="4"/>
        <item x="3"/>
        <item x="2"/>
        <item x="1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numFmtId="165" showAll="0"/>
    <pivotField dataField="1" numFmtId="164" showAll="0"/>
    <pivotField showAll="0"/>
    <pivotField showAll="0"/>
  </pivotFields>
  <rowFields count="1">
    <field x="2"/>
  </rowFields>
  <rowItems count="7">
    <i>
      <x v="5"/>
    </i>
    <i>
      <x/>
    </i>
    <i>
      <x v="4"/>
    </i>
    <i>
      <x v="1"/>
    </i>
    <i>
      <x v="3"/>
    </i>
    <i>
      <x v="2"/>
    </i>
    <i t="grand">
      <x/>
    </i>
  </rowItems>
  <colItems count="1">
    <i/>
  </colItems>
  <dataFields count="1">
    <dataField name="Somme de CA_Net" fld="9" baseField="0" baseItem="0"/>
  </dataField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4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24">
  <location ref="F21:G27" firstHeaderRow="1" firstDataRow="1" firstDataCol="1"/>
  <pivotFields count="12">
    <pivotField showAll="0"/>
    <pivotField numFmtId="14" showAll="0"/>
    <pivotField showAll="0"/>
    <pivotField axis="axisRow"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165" showAll="0"/>
    <pivotField dataField="1" numFmtId="164" showAll="0"/>
    <pivotField showAll="0"/>
    <pivotField showAll="0"/>
  </pivotFields>
  <rowFields count="1">
    <field x="3"/>
  </rowFields>
  <rowItems count="6">
    <i>
      <x v="1"/>
    </i>
    <i>
      <x v="2"/>
    </i>
    <i>
      <x v="3"/>
    </i>
    <i>
      <x/>
    </i>
    <i>
      <x v="4"/>
    </i>
    <i t="grand">
      <x/>
    </i>
  </rowItems>
  <colItems count="1">
    <i/>
  </colItems>
  <dataFields count="1">
    <dataField name="Somme de CA_Net" fld="9" baseField="0" baseItem="0"/>
  </dataFields>
  <chartFormats count="6"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3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56">
  <location ref="O4:P10" firstHeaderRow="1" firstDataRow="1" firstDataCol="1"/>
  <pivotFields count="12">
    <pivotField showAll="0"/>
    <pivotField numFmtId="14" showAll="0"/>
    <pivotField showAll="0"/>
    <pivotField showAll="0"/>
    <pivotField showAll="0"/>
    <pivotField axis="axisRow" showAll="0" measureFilter="1" sortType="descending">
      <items count="21">
        <item x="1"/>
        <item x="14"/>
        <item x="13"/>
        <item x="3"/>
        <item x="9"/>
        <item x="7"/>
        <item x="0"/>
        <item x="17"/>
        <item x="2"/>
        <item x="10"/>
        <item x="4"/>
        <item x="19"/>
        <item x="6"/>
        <item x="15"/>
        <item x="8"/>
        <item x="12"/>
        <item x="11"/>
        <item x="16"/>
        <item x="5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5" showAll="0"/>
    <pivotField dataField="1" numFmtId="164" showAll="0"/>
    <pivotField showAll="0"/>
    <pivotField showAll="0"/>
  </pivotFields>
  <rowFields count="1">
    <field x="5"/>
  </rowFields>
  <rowItems count="6">
    <i>
      <x v="2"/>
    </i>
    <i>
      <x v="3"/>
    </i>
    <i>
      <x v="14"/>
    </i>
    <i>
      <x v="17"/>
    </i>
    <i>
      <x v="5"/>
    </i>
    <i t="grand">
      <x/>
    </i>
  </rowItems>
  <colItems count="1">
    <i/>
  </colItems>
  <dataFields count="1">
    <dataField name="Somme de CA_Net" fld="9" baseField="0" baseItem="0"/>
  </dataFields>
  <chartFormats count="1">
    <chartFormat chart="5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6"/>
  <sheetViews>
    <sheetView topLeftCell="D1" zoomScaleNormal="100" workbookViewId="0">
      <pane ySplit="1" topLeftCell="A2" activePane="bottomLeft" state="frozen"/>
      <selection pane="bottomLeft" activeCell="P5" sqref="P5"/>
    </sheetView>
  </sheetViews>
  <sheetFormatPr baseColWidth="10" defaultColWidth="8.6328125" defaultRowHeight="14.5" x14ac:dyDescent="0.35"/>
  <cols>
    <col min="1" max="1" width="10" customWidth="1"/>
    <col min="2" max="2" width="14" customWidth="1"/>
    <col min="3" max="3" width="18" customWidth="1"/>
    <col min="4" max="4" width="14" customWidth="1"/>
    <col min="5" max="5" width="16" customWidth="1"/>
    <col min="6" max="6" width="20" customWidth="1"/>
    <col min="7" max="7" width="12" customWidth="1"/>
    <col min="8" max="8" width="15" customWidth="1"/>
    <col min="9" max="9" width="12" customWidth="1"/>
    <col min="10" max="10" width="14" customWidth="1"/>
    <col min="11" max="11" width="16.81640625" customWidth="1"/>
    <col min="12" max="12" width="10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177</v>
      </c>
      <c r="L1" s="1" t="s">
        <v>178</v>
      </c>
    </row>
    <row r="2" spans="1:12" x14ac:dyDescent="0.3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2</v>
      </c>
      <c r="H2" s="3">
        <v>30</v>
      </c>
      <c r="I2" s="4">
        <v>0</v>
      </c>
      <c r="J2" s="3">
        <f t="shared" ref="J2:J33" si="0">G2*H2*(1-I2/100)</f>
        <v>60</v>
      </c>
      <c r="K2" t="s">
        <v>176</v>
      </c>
      <c r="L2" s="9">
        <f>COUNT(A2:A206)</f>
        <v>205</v>
      </c>
    </row>
    <row r="3" spans="1:12" x14ac:dyDescent="0.35">
      <c r="A3" s="5">
        <v>2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>
        <v>4</v>
      </c>
      <c r="H3" s="6">
        <v>45</v>
      </c>
      <c r="I3" s="7">
        <v>0</v>
      </c>
      <c r="J3" s="6">
        <f t="shared" si="0"/>
        <v>180</v>
      </c>
      <c r="K3" t="s">
        <v>173</v>
      </c>
      <c r="L3" s="8">
        <f>SUM(J2:J206)</f>
        <v>39947.25</v>
      </c>
    </row>
    <row r="4" spans="1:12" x14ac:dyDescent="0.35">
      <c r="A4" s="2">
        <v>3</v>
      </c>
      <c r="B4" s="2" t="s">
        <v>20</v>
      </c>
      <c r="C4" s="2" t="s">
        <v>11</v>
      </c>
      <c r="D4" s="2" t="s">
        <v>21</v>
      </c>
      <c r="E4" s="2" t="s">
        <v>22</v>
      </c>
      <c r="F4" s="2" t="s">
        <v>23</v>
      </c>
      <c r="G4" s="2">
        <v>5</v>
      </c>
      <c r="H4" s="3">
        <v>65</v>
      </c>
      <c r="I4" s="4">
        <v>0</v>
      </c>
      <c r="J4" s="3">
        <f t="shared" si="0"/>
        <v>325</v>
      </c>
      <c r="K4" t="s">
        <v>174</v>
      </c>
      <c r="L4" s="8">
        <f>AVERAGE(H2:H206)</f>
        <v>68.121951219512198</v>
      </c>
    </row>
    <row r="5" spans="1:12" x14ac:dyDescent="0.35">
      <c r="A5" s="5">
        <v>4</v>
      </c>
      <c r="B5" s="5" t="s">
        <v>24</v>
      </c>
      <c r="C5" s="5" t="s">
        <v>25</v>
      </c>
      <c r="D5" s="5" t="s">
        <v>17</v>
      </c>
      <c r="E5" s="5" t="s">
        <v>26</v>
      </c>
      <c r="F5" s="5" t="s">
        <v>27</v>
      </c>
      <c r="G5" s="5">
        <v>4</v>
      </c>
      <c r="H5" s="6">
        <v>120</v>
      </c>
      <c r="I5" s="7">
        <v>10</v>
      </c>
      <c r="J5" s="6">
        <f t="shared" si="0"/>
        <v>432</v>
      </c>
      <c r="K5" t="s">
        <v>175</v>
      </c>
      <c r="L5" s="9">
        <f>MAX(J2:J206)</f>
        <v>750</v>
      </c>
    </row>
    <row r="6" spans="1:12" x14ac:dyDescent="0.35">
      <c r="A6" s="2">
        <v>5</v>
      </c>
      <c r="B6" s="2" t="s">
        <v>28</v>
      </c>
      <c r="C6" s="2" t="s">
        <v>11</v>
      </c>
      <c r="D6" s="2" t="s">
        <v>21</v>
      </c>
      <c r="E6" s="2" t="s">
        <v>26</v>
      </c>
      <c r="F6" s="2" t="s">
        <v>29</v>
      </c>
      <c r="G6" s="2">
        <v>3</v>
      </c>
      <c r="H6" s="3">
        <v>85</v>
      </c>
      <c r="I6" s="4">
        <v>0</v>
      </c>
      <c r="J6" s="3">
        <f t="shared" si="0"/>
        <v>255</v>
      </c>
    </row>
    <row r="7" spans="1:12" x14ac:dyDescent="0.35">
      <c r="A7" s="5">
        <v>6</v>
      </c>
      <c r="B7" s="5" t="s">
        <v>30</v>
      </c>
      <c r="C7" s="5" t="s">
        <v>31</v>
      </c>
      <c r="D7" s="5" t="s">
        <v>12</v>
      </c>
      <c r="E7" s="5" t="s">
        <v>18</v>
      </c>
      <c r="F7" s="5" t="s">
        <v>32</v>
      </c>
      <c r="G7" s="5">
        <v>1</v>
      </c>
      <c r="H7" s="6">
        <v>60</v>
      </c>
      <c r="I7" s="7">
        <v>0</v>
      </c>
      <c r="J7" s="6">
        <f t="shared" si="0"/>
        <v>60</v>
      </c>
    </row>
    <row r="8" spans="1:12" x14ac:dyDescent="0.35">
      <c r="A8" s="2">
        <v>7</v>
      </c>
      <c r="B8" s="2" t="s">
        <v>33</v>
      </c>
      <c r="C8" s="2" t="s">
        <v>34</v>
      </c>
      <c r="D8" s="2" t="s">
        <v>35</v>
      </c>
      <c r="E8" s="2" t="s">
        <v>18</v>
      </c>
      <c r="F8" s="2" t="s">
        <v>32</v>
      </c>
      <c r="G8" s="2">
        <v>5</v>
      </c>
      <c r="H8" s="3">
        <v>60</v>
      </c>
      <c r="I8" s="4">
        <v>0</v>
      </c>
      <c r="J8" s="3">
        <f t="shared" si="0"/>
        <v>300</v>
      </c>
    </row>
    <row r="9" spans="1:12" x14ac:dyDescent="0.35">
      <c r="A9" s="5">
        <v>8</v>
      </c>
      <c r="B9" s="5" t="s">
        <v>36</v>
      </c>
      <c r="C9" s="5" t="s">
        <v>11</v>
      </c>
      <c r="D9" s="5" t="s">
        <v>17</v>
      </c>
      <c r="E9" s="5" t="s">
        <v>13</v>
      </c>
      <c r="F9" s="5" t="s">
        <v>37</v>
      </c>
      <c r="G9" s="5">
        <v>3</v>
      </c>
      <c r="H9" s="6">
        <v>45</v>
      </c>
      <c r="I9" s="7">
        <v>10</v>
      </c>
      <c r="J9" s="6">
        <f t="shared" si="0"/>
        <v>121.5</v>
      </c>
    </row>
    <row r="10" spans="1:12" x14ac:dyDescent="0.35">
      <c r="A10" s="2">
        <v>9</v>
      </c>
      <c r="B10" s="2" t="s">
        <v>38</v>
      </c>
      <c r="C10" s="2" t="s">
        <v>16</v>
      </c>
      <c r="D10" s="2" t="s">
        <v>12</v>
      </c>
      <c r="E10" s="2" t="s">
        <v>18</v>
      </c>
      <c r="F10" s="2" t="s">
        <v>39</v>
      </c>
      <c r="G10" s="2">
        <v>3</v>
      </c>
      <c r="H10" s="3">
        <v>55</v>
      </c>
      <c r="I10" s="4">
        <v>0</v>
      </c>
      <c r="J10" s="3">
        <f t="shared" si="0"/>
        <v>165</v>
      </c>
    </row>
    <row r="11" spans="1:12" x14ac:dyDescent="0.35">
      <c r="A11" s="5">
        <v>10</v>
      </c>
      <c r="B11" s="5" t="s">
        <v>40</v>
      </c>
      <c r="C11" s="5" t="s">
        <v>11</v>
      </c>
      <c r="D11" s="5" t="s">
        <v>41</v>
      </c>
      <c r="E11" s="5" t="s">
        <v>13</v>
      </c>
      <c r="F11" s="5" t="s">
        <v>42</v>
      </c>
      <c r="G11" s="5">
        <v>3</v>
      </c>
      <c r="H11" s="6">
        <v>90</v>
      </c>
      <c r="I11" s="7">
        <v>0</v>
      </c>
      <c r="J11" s="6">
        <f t="shared" si="0"/>
        <v>270</v>
      </c>
    </row>
    <row r="12" spans="1:12" x14ac:dyDescent="0.35">
      <c r="A12" s="2">
        <v>11</v>
      </c>
      <c r="B12" s="2" t="s">
        <v>43</v>
      </c>
      <c r="C12" s="2" t="s">
        <v>31</v>
      </c>
      <c r="D12" s="2" t="s">
        <v>21</v>
      </c>
      <c r="E12" s="2" t="s">
        <v>13</v>
      </c>
      <c r="F12" s="2" t="s">
        <v>44</v>
      </c>
      <c r="G12" s="2">
        <v>5</v>
      </c>
      <c r="H12" s="3">
        <v>35</v>
      </c>
      <c r="I12" s="4">
        <v>15</v>
      </c>
      <c r="J12" s="3">
        <f t="shared" si="0"/>
        <v>148.75</v>
      </c>
    </row>
    <row r="13" spans="1:12" x14ac:dyDescent="0.35">
      <c r="A13" s="5">
        <v>12</v>
      </c>
      <c r="B13" s="5" t="s">
        <v>45</v>
      </c>
      <c r="C13" s="5" t="s">
        <v>34</v>
      </c>
      <c r="D13" s="5" t="s">
        <v>21</v>
      </c>
      <c r="E13" s="5" t="s">
        <v>22</v>
      </c>
      <c r="F13" s="5" t="s">
        <v>46</v>
      </c>
      <c r="G13" s="5">
        <v>4</v>
      </c>
      <c r="H13" s="6">
        <v>40</v>
      </c>
      <c r="I13" s="7">
        <v>0</v>
      </c>
      <c r="J13" s="6">
        <f t="shared" si="0"/>
        <v>160</v>
      </c>
    </row>
    <row r="14" spans="1:12" x14ac:dyDescent="0.35">
      <c r="A14" s="2">
        <v>13</v>
      </c>
      <c r="B14" s="2" t="s">
        <v>10</v>
      </c>
      <c r="C14" s="2" t="s">
        <v>16</v>
      </c>
      <c r="D14" s="2" t="s">
        <v>17</v>
      </c>
      <c r="E14" s="2" t="s">
        <v>22</v>
      </c>
      <c r="F14" s="2" t="s">
        <v>47</v>
      </c>
      <c r="G14" s="2">
        <v>1</v>
      </c>
      <c r="H14" s="3">
        <v>50</v>
      </c>
      <c r="I14" s="4">
        <v>0</v>
      </c>
      <c r="J14" s="3">
        <f t="shared" si="0"/>
        <v>50</v>
      </c>
    </row>
    <row r="15" spans="1:12" x14ac:dyDescent="0.35">
      <c r="A15" s="5">
        <v>14</v>
      </c>
      <c r="B15" s="5" t="s">
        <v>48</v>
      </c>
      <c r="C15" s="5" t="s">
        <v>31</v>
      </c>
      <c r="D15" s="5" t="s">
        <v>41</v>
      </c>
      <c r="E15" s="5" t="s">
        <v>13</v>
      </c>
      <c r="F15" s="5" t="s">
        <v>44</v>
      </c>
      <c r="G15" s="5">
        <v>2</v>
      </c>
      <c r="H15" s="6">
        <v>35</v>
      </c>
      <c r="I15" s="7">
        <v>10</v>
      </c>
      <c r="J15" s="6">
        <f t="shared" si="0"/>
        <v>63</v>
      </c>
    </row>
    <row r="16" spans="1:12" x14ac:dyDescent="0.35">
      <c r="A16" s="2">
        <v>15</v>
      </c>
      <c r="B16" s="2" t="s">
        <v>49</v>
      </c>
      <c r="C16" s="2" t="s">
        <v>50</v>
      </c>
      <c r="D16" s="2" t="s">
        <v>41</v>
      </c>
      <c r="E16" s="2" t="s">
        <v>26</v>
      </c>
      <c r="F16" s="2" t="s">
        <v>51</v>
      </c>
      <c r="G16" s="2">
        <v>2</v>
      </c>
      <c r="H16" s="3">
        <v>60</v>
      </c>
      <c r="I16" s="4">
        <v>0</v>
      </c>
      <c r="J16" s="3">
        <f t="shared" si="0"/>
        <v>120</v>
      </c>
    </row>
    <row r="17" spans="1:10" x14ac:dyDescent="0.35">
      <c r="A17" s="5">
        <v>16</v>
      </c>
      <c r="B17" s="5" t="s">
        <v>52</v>
      </c>
      <c r="C17" s="5" t="s">
        <v>25</v>
      </c>
      <c r="D17" s="5" t="s">
        <v>17</v>
      </c>
      <c r="E17" s="5" t="s">
        <v>13</v>
      </c>
      <c r="F17" s="5" t="s">
        <v>37</v>
      </c>
      <c r="G17" s="5">
        <v>4</v>
      </c>
      <c r="H17" s="6">
        <v>45</v>
      </c>
      <c r="I17" s="7">
        <v>10</v>
      </c>
      <c r="J17" s="6">
        <f t="shared" si="0"/>
        <v>162</v>
      </c>
    </row>
    <row r="18" spans="1:10" x14ac:dyDescent="0.35">
      <c r="A18" s="2">
        <v>17</v>
      </c>
      <c r="B18" s="2" t="s">
        <v>53</v>
      </c>
      <c r="C18" s="2" t="s">
        <v>31</v>
      </c>
      <c r="D18" s="2" t="s">
        <v>21</v>
      </c>
      <c r="E18" s="2" t="s">
        <v>22</v>
      </c>
      <c r="F18" s="2" t="s">
        <v>23</v>
      </c>
      <c r="G18" s="2">
        <v>4</v>
      </c>
      <c r="H18" s="3">
        <v>65</v>
      </c>
      <c r="I18" s="4">
        <v>0</v>
      </c>
      <c r="J18" s="3">
        <f t="shared" si="0"/>
        <v>260</v>
      </c>
    </row>
    <row r="19" spans="1:10" x14ac:dyDescent="0.35">
      <c r="A19" s="5">
        <v>18</v>
      </c>
      <c r="B19" s="5" t="s">
        <v>54</v>
      </c>
      <c r="C19" s="5" t="s">
        <v>11</v>
      </c>
      <c r="D19" s="5" t="s">
        <v>21</v>
      </c>
      <c r="E19" s="5" t="s">
        <v>22</v>
      </c>
      <c r="F19" s="5" t="s">
        <v>46</v>
      </c>
      <c r="G19" s="5">
        <v>5</v>
      </c>
      <c r="H19" s="6">
        <v>40</v>
      </c>
      <c r="I19" s="7">
        <v>0</v>
      </c>
      <c r="J19" s="6">
        <f t="shared" si="0"/>
        <v>200</v>
      </c>
    </row>
    <row r="20" spans="1:10" x14ac:dyDescent="0.35">
      <c r="A20" s="2">
        <v>19</v>
      </c>
      <c r="B20" s="2" t="s">
        <v>55</v>
      </c>
      <c r="C20" s="2" t="s">
        <v>56</v>
      </c>
      <c r="D20" s="2" t="s">
        <v>17</v>
      </c>
      <c r="E20" s="2" t="s">
        <v>26</v>
      </c>
      <c r="F20" s="2" t="s">
        <v>57</v>
      </c>
      <c r="G20" s="2">
        <v>3</v>
      </c>
      <c r="H20" s="3">
        <v>150</v>
      </c>
      <c r="I20" s="4">
        <v>10</v>
      </c>
      <c r="J20" s="3">
        <f t="shared" si="0"/>
        <v>405</v>
      </c>
    </row>
    <row r="21" spans="1:10" x14ac:dyDescent="0.35">
      <c r="A21" s="5">
        <v>20</v>
      </c>
      <c r="B21" s="5" t="s">
        <v>58</v>
      </c>
      <c r="C21" s="5" t="s">
        <v>16</v>
      </c>
      <c r="D21" s="5" t="s">
        <v>12</v>
      </c>
      <c r="E21" s="5" t="s">
        <v>13</v>
      </c>
      <c r="F21" s="5" t="s">
        <v>59</v>
      </c>
      <c r="G21" s="5">
        <v>1</v>
      </c>
      <c r="H21" s="6">
        <v>20</v>
      </c>
      <c r="I21" s="7">
        <v>0</v>
      </c>
      <c r="J21" s="6">
        <f t="shared" si="0"/>
        <v>20</v>
      </c>
    </row>
    <row r="22" spans="1:10" x14ac:dyDescent="0.35">
      <c r="A22" s="2">
        <v>21</v>
      </c>
      <c r="B22" s="2" t="s">
        <v>60</v>
      </c>
      <c r="C22" s="2" t="s">
        <v>25</v>
      </c>
      <c r="D22" s="2" t="s">
        <v>41</v>
      </c>
      <c r="E22" s="2" t="s">
        <v>18</v>
      </c>
      <c r="F22" s="2" t="s">
        <v>61</v>
      </c>
      <c r="G22" s="2">
        <v>5</v>
      </c>
      <c r="H22" s="3">
        <v>75</v>
      </c>
      <c r="I22" s="4">
        <v>20</v>
      </c>
      <c r="J22" s="3">
        <f t="shared" si="0"/>
        <v>300</v>
      </c>
    </row>
    <row r="23" spans="1:10" x14ac:dyDescent="0.35">
      <c r="A23" s="5">
        <v>22</v>
      </c>
      <c r="B23" s="5" t="s">
        <v>62</v>
      </c>
      <c r="C23" s="5" t="s">
        <v>34</v>
      </c>
      <c r="D23" s="5" t="s">
        <v>12</v>
      </c>
      <c r="E23" s="5" t="s">
        <v>13</v>
      </c>
      <c r="F23" s="5" t="s">
        <v>37</v>
      </c>
      <c r="G23" s="5">
        <v>5</v>
      </c>
      <c r="H23" s="6">
        <v>45</v>
      </c>
      <c r="I23" s="7">
        <v>0</v>
      </c>
      <c r="J23" s="6">
        <f t="shared" si="0"/>
        <v>225</v>
      </c>
    </row>
    <row r="24" spans="1:10" x14ac:dyDescent="0.35">
      <c r="A24" s="2">
        <v>23</v>
      </c>
      <c r="B24" s="2" t="s">
        <v>63</v>
      </c>
      <c r="C24" s="2" t="s">
        <v>31</v>
      </c>
      <c r="D24" s="2" t="s">
        <v>21</v>
      </c>
      <c r="E24" s="2" t="s">
        <v>18</v>
      </c>
      <c r="F24" s="2" t="s">
        <v>19</v>
      </c>
      <c r="G24" s="2">
        <v>3</v>
      </c>
      <c r="H24" s="3">
        <v>45</v>
      </c>
      <c r="I24" s="4">
        <v>5</v>
      </c>
      <c r="J24" s="3">
        <f t="shared" si="0"/>
        <v>128.25</v>
      </c>
    </row>
    <row r="25" spans="1:10" x14ac:dyDescent="0.35">
      <c r="A25" s="5">
        <v>24</v>
      </c>
      <c r="B25" s="5" t="s">
        <v>64</v>
      </c>
      <c r="C25" s="5" t="s">
        <v>11</v>
      </c>
      <c r="D25" s="5" t="s">
        <v>35</v>
      </c>
      <c r="E25" s="5" t="s">
        <v>13</v>
      </c>
      <c r="F25" s="5" t="s">
        <v>14</v>
      </c>
      <c r="G25" s="5">
        <v>1</v>
      </c>
      <c r="H25" s="6">
        <v>30</v>
      </c>
      <c r="I25" s="7">
        <v>0</v>
      </c>
      <c r="J25" s="6">
        <f t="shared" si="0"/>
        <v>30</v>
      </c>
    </row>
    <row r="26" spans="1:10" x14ac:dyDescent="0.35">
      <c r="A26" s="2">
        <v>25</v>
      </c>
      <c r="B26" s="2" t="s">
        <v>65</v>
      </c>
      <c r="C26" s="2" t="s">
        <v>11</v>
      </c>
      <c r="D26" s="2" t="s">
        <v>12</v>
      </c>
      <c r="E26" s="2" t="s">
        <v>26</v>
      </c>
      <c r="F26" s="2" t="s">
        <v>66</v>
      </c>
      <c r="G26" s="2">
        <v>5</v>
      </c>
      <c r="H26" s="3">
        <v>95</v>
      </c>
      <c r="I26" s="4">
        <v>20</v>
      </c>
      <c r="J26" s="3">
        <f t="shared" si="0"/>
        <v>380</v>
      </c>
    </row>
    <row r="27" spans="1:10" x14ac:dyDescent="0.35">
      <c r="A27" s="5">
        <v>26</v>
      </c>
      <c r="B27" s="5" t="s">
        <v>67</v>
      </c>
      <c r="C27" s="5" t="s">
        <v>25</v>
      </c>
      <c r="D27" s="5" t="s">
        <v>41</v>
      </c>
      <c r="E27" s="5" t="s">
        <v>22</v>
      </c>
      <c r="F27" s="5" t="s">
        <v>47</v>
      </c>
      <c r="G27" s="5">
        <v>5</v>
      </c>
      <c r="H27" s="6">
        <v>50</v>
      </c>
      <c r="I27" s="7">
        <v>20</v>
      </c>
      <c r="J27" s="6">
        <f t="shared" si="0"/>
        <v>200</v>
      </c>
    </row>
    <row r="28" spans="1:10" x14ac:dyDescent="0.35">
      <c r="A28" s="2">
        <v>27</v>
      </c>
      <c r="B28" s="2" t="s">
        <v>68</v>
      </c>
      <c r="C28" s="2" t="s">
        <v>56</v>
      </c>
      <c r="D28" s="2" t="s">
        <v>21</v>
      </c>
      <c r="E28" s="2" t="s">
        <v>22</v>
      </c>
      <c r="F28" s="2" t="s">
        <v>47</v>
      </c>
      <c r="G28" s="2">
        <v>4</v>
      </c>
      <c r="H28" s="3">
        <v>50</v>
      </c>
      <c r="I28" s="4">
        <v>15</v>
      </c>
      <c r="J28" s="3">
        <f t="shared" si="0"/>
        <v>170</v>
      </c>
    </row>
    <row r="29" spans="1:10" x14ac:dyDescent="0.35">
      <c r="A29" s="5">
        <v>28</v>
      </c>
      <c r="B29" s="5" t="s">
        <v>69</v>
      </c>
      <c r="C29" s="5" t="s">
        <v>31</v>
      </c>
      <c r="D29" s="5" t="s">
        <v>41</v>
      </c>
      <c r="E29" s="5" t="s">
        <v>26</v>
      </c>
      <c r="F29" s="5" t="s">
        <v>66</v>
      </c>
      <c r="G29" s="5">
        <v>2</v>
      </c>
      <c r="H29" s="6">
        <v>95</v>
      </c>
      <c r="I29" s="7">
        <v>0</v>
      </c>
      <c r="J29" s="6">
        <f t="shared" si="0"/>
        <v>190</v>
      </c>
    </row>
    <row r="30" spans="1:10" x14ac:dyDescent="0.35">
      <c r="A30" s="2">
        <v>29</v>
      </c>
      <c r="B30" s="2" t="s">
        <v>70</v>
      </c>
      <c r="C30" s="2" t="s">
        <v>31</v>
      </c>
      <c r="D30" s="2" t="s">
        <v>12</v>
      </c>
      <c r="E30" s="2" t="s">
        <v>22</v>
      </c>
      <c r="F30" s="2" t="s">
        <v>23</v>
      </c>
      <c r="G30" s="2">
        <v>2</v>
      </c>
      <c r="H30" s="3">
        <v>65</v>
      </c>
      <c r="I30" s="4">
        <v>0</v>
      </c>
      <c r="J30" s="3">
        <f t="shared" si="0"/>
        <v>130</v>
      </c>
    </row>
    <row r="31" spans="1:10" x14ac:dyDescent="0.35">
      <c r="A31" s="5">
        <v>30</v>
      </c>
      <c r="B31" s="5" t="s">
        <v>71</v>
      </c>
      <c r="C31" s="5" t="s">
        <v>16</v>
      </c>
      <c r="D31" s="5" t="s">
        <v>12</v>
      </c>
      <c r="E31" s="5" t="s">
        <v>22</v>
      </c>
      <c r="F31" s="5" t="s">
        <v>72</v>
      </c>
      <c r="G31" s="5">
        <v>1</v>
      </c>
      <c r="H31" s="6">
        <v>80</v>
      </c>
      <c r="I31" s="7">
        <v>20</v>
      </c>
      <c r="J31" s="6">
        <f t="shared" si="0"/>
        <v>64</v>
      </c>
    </row>
    <row r="32" spans="1:10" x14ac:dyDescent="0.35">
      <c r="A32" s="2">
        <v>31</v>
      </c>
      <c r="B32" s="2" t="s">
        <v>73</v>
      </c>
      <c r="C32" s="2" t="s">
        <v>11</v>
      </c>
      <c r="D32" s="2" t="s">
        <v>17</v>
      </c>
      <c r="E32" s="2" t="s">
        <v>22</v>
      </c>
      <c r="F32" s="2" t="s">
        <v>47</v>
      </c>
      <c r="G32" s="2">
        <v>4</v>
      </c>
      <c r="H32" s="3">
        <v>50</v>
      </c>
      <c r="I32" s="4">
        <v>0</v>
      </c>
      <c r="J32" s="3">
        <f t="shared" si="0"/>
        <v>200</v>
      </c>
    </row>
    <row r="33" spans="1:10" x14ac:dyDescent="0.35">
      <c r="A33" s="5">
        <v>32</v>
      </c>
      <c r="B33" s="5" t="s">
        <v>74</v>
      </c>
      <c r="C33" s="5" t="s">
        <v>25</v>
      </c>
      <c r="D33" s="5" t="s">
        <v>17</v>
      </c>
      <c r="E33" s="5" t="s">
        <v>26</v>
      </c>
      <c r="F33" s="5" t="s">
        <v>27</v>
      </c>
      <c r="G33" s="5">
        <v>4</v>
      </c>
      <c r="H33" s="6">
        <v>120</v>
      </c>
      <c r="I33" s="7">
        <v>20</v>
      </c>
      <c r="J33" s="6">
        <f t="shared" si="0"/>
        <v>384</v>
      </c>
    </row>
    <row r="34" spans="1:10" x14ac:dyDescent="0.35">
      <c r="A34" s="2">
        <v>33</v>
      </c>
      <c r="B34" s="2" t="s">
        <v>75</v>
      </c>
      <c r="C34" s="2" t="s">
        <v>25</v>
      </c>
      <c r="D34" s="2" t="s">
        <v>12</v>
      </c>
      <c r="E34" s="2" t="s">
        <v>18</v>
      </c>
      <c r="F34" s="2" t="s">
        <v>32</v>
      </c>
      <c r="G34" s="2">
        <v>3</v>
      </c>
      <c r="H34" s="3">
        <v>60</v>
      </c>
      <c r="I34" s="4">
        <v>-5</v>
      </c>
      <c r="J34" s="3">
        <f t="shared" ref="J34:J65" si="1">G34*H34*(1-I34/100)</f>
        <v>189</v>
      </c>
    </row>
    <row r="35" spans="1:10" x14ac:dyDescent="0.35">
      <c r="A35" s="5">
        <v>34</v>
      </c>
      <c r="B35" s="5" t="s">
        <v>76</v>
      </c>
      <c r="C35" s="5" t="s">
        <v>56</v>
      </c>
      <c r="D35" s="5" t="s">
        <v>12</v>
      </c>
      <c r="E35" s="5" t="s">
        <v>18</v>
      </c>
      <c r="F35" s="5" t="s">
        <v>77</v>
      </c>
      <c r="G35" s="5">
        <v>4</v>
      </c>
      <c r="H35" s="6">
        <v>25</v>
      </c>
      <c r="I35" s="7">
        <v>15</v>
      </c>
      <c r="J35" s="6">
        <f t="shared" si="1"/>
        <v>85</v>
      </c>
    </row>
    <row r="36" spans="1:10" x14ac:dyDescent="0.35">
      <c r="A36" s="2">
        <v>35</v>
      </c>
      <c r="B36" s="2" t="s">
        <v>78</v>
      </c>
      <c r="C36" s="2" t="s">
        <v>11</v>
      </c>
      <c r="D36" s="2" t="s">
        <v>21</v>
      </c>
      <c r="E36" s="2" t="s">
        <v>22</v>
      </c>
      <c r="F36" s="2" t="s">
        <v>79</v>
      </c>
      <c r="G36" s="2">
        <v>5</v>
      </c>
      <c r="H36" s="3">
        <v>70</v>
      </c>
      <c r="I36" s="4">
        <v>5</v>
      </c>
      <c r="J36" s="3">
        <f t="shared" si="1"/>
        <v>332.5</v>
      </c>
    </row>
    <row r="37" spans="1:10" x14ac:dyDescent="0.35">
      <c r="A37" s="5">
        <v>36</v>
      </c>
      <c r="B37" s="5" t="s">
        <v>52</v>
      </c>
      <c r="C37" s="5" t="s">
        <v>56</v>
      </c>
      <c r="D37" s="5" t="s">
        <v>21</v>
      </c>
      <c r="E37" s="5" t="s">
        <v>13</v>
      </c>
      <c r="F37" s="5" t="s">
        <v>42</v>
      </c>
      <c r="G37" s="5">
        <v>2</v>
      </c>
      <c r="H37" s="6">
        <v>90</v>
      </c>
      <c r="I37" s="7">
        <v>20</v>
      </c>
      <c r="J37" s="6">
        <f t="shared" si="1"/>
        <v>144</v>
      </c>
    </row>
    <row r="38" spans="1:10" x14ac:dyDescent="0.35">
      <c r="A38" s="2">
        <v>37</v>
      </c>
      <c r="B38" s="2" t="s">
        <v>80</v>
      </c>
      <c r="C38" s="2" t="s">
        <v>56</v>
      </c>
      <c r="D38" s="2" t="s">
        <v>17</v>
      </c>
      <c r="E38" s="2" t="s">
        <v>18</v>
      </c>
      <c r="F38" s="2" t="s">
        <v>77</v>
      </c>
      <c r="G38" s="2">
        <v>5</v>
      </c>
      <c r="H38" s="3">
        <v>25</v>
      </c>
      <c r="I38" s="4">
        <v>20</v>
      </c>
      <c r="J38" s="3">
        <f t="shared" si="1"/>
        <v>100</v>
      </c>
    </row>
    <row r="39" spans="1:10" x14ac:dyDescent="0.35">
      <c r="A39" s="5">
        <v>38</v>
      </c>
      <c r="B39" s="5" t="s">
        <v>81</v>
      </c>
      <c r="C39" s="5" t="s">
        <v>11</v>
      </c>
      <c r="D39" s="5" t="s">
        <v>21</v>
      </c>
      <c r="E39" s="5" t="s">
        <v>22</v>
      </c>
      <c r="F39" s="5" t="s">
        <v>46</v>
      </c>
      <c r="G39" s="5">
        <v>4</v>
      </c>
      <c r="H39" s="6">
        <v>40</v>
      </c>
      <c r="I39" s="7">
        <v>5</v>
      </c>
      <c r="J39" s="6">
        <f t="shared" si="1"/>
        <v>152</v>
      </c>
    </row>
    <row r="40" spans="1:10" x14ac:dyDescent="0.35">
      <c r="A40" s="2">
        <v>39</v>
      </c>
      <c r="B40" s="2" t="s">
        <v>82</v>
      </c>
      <c r="C40" s="2" t="s">
        <v>56</v>
      </c>
      <c r="D40" s="2" t="s">
        <v>12</v>
      </c>
      <c r="E40" s="2" t="s">
        <v>22</v>
      </c>
      <c r="F40" s="2" t="s">
        <v>46</v>
      </c>
      <c r="G40" s="2">
        <v>1</v>
      </c>
      <c r="H40" s="3">
        <v>40</v>
      </c>
      <c r="I40" s="4">
        <v>5</v>
      </c>
      <c r="J40" s="3">
        <f t="shared" si="1"/>
        <v>38</v>
      </c>
    </row>
    <row r="41" spans="1:10" x14ac:dyDescent="0.35">
      <c r="A41" s="5">
        <v>40</v>
      </c>
      <c r="B41" s="5" t="s">
        <v>83</v>
      </c>
      <c r="C41" s="5" t="s">
        <v>56</v>
      </c>
      <c r="D41" s="5" t="s">
        <v>35</v>
      </c>
      <c r="E41" s="5" t="s">
        <v>26</v>
      </c>
      <c r="F41" s="5" t="s">
        <v>57</v>
      </c>
      <c r="G41" s="5">
        <v>4</v>
      </c>
      <c r="H41" s="6">
        <v>150</v>
      </c>
      <c r="I41" s="7">
        <v>0</v>
      </c>
      <c r="J41" s="6">
        <f t="shared" si="1"/>
        <v>600</v>
      </c>
    </row>
    <row r="42" spans="1:10" x14ac:dyDescent="0.35">
      <c r="A42" s="2">
        <v>41</v>
      </c>
      <c r="B42" s="2" t="s">
        <v>84</v>
      </c>
      <c r="C42" s="2" t="s">
        <v>31</v>
      </c>
      <c r="D42" s="2" t="s">
        <v>21</v>
      </c>
      <c r="E42" s="2" t="s">
        <v>18</v>
      </c>
      <c r="F42" s="2" t="s">
        <v>19</v>
      </c>
      <c r="G42" s="2">
        <v>5</v>
      </c>
      <c r="H42" s="3">
        <v>45</v>
      </c>
      <c r="I42" s="4">
        <v>0</v>
      </c>
      <c r="J42" s="3">
        <f t="shared" si="1"/>
        <v>225</v>
      </c>
    </row>
    <row r="43" spans="1:10" x14ac:dyDescent="0.35">
      <c r="A43" s="5">
        <v>42</v>
      </c>
      <c r="B43" s="5" t="s">
        <v>49</v>
      </c>
      <c r="C43" s="5" t="s">
        <v>11</v>
      </c>
      <c r="D43" s="5" t="s">
        <v>12</v>
      </c>
      <c r="E43" s="5" t="s">
        <v>26</v>
      </c>
      <c r="F43" s="5" t="s">
        <v>57</v>
      </c>
      <c r="G43" s="5">
        <v>5</v>
      </c>
      <c r="H43" s="6">
        <v>150</v>
      </c>
      <c r="I43" s="7">
        <v>0</v>
      </c>
      <c r="J43" s="6">
        <f t="shared" si="1"/>
        <v>750</v>
      </c>
    </row>
    <row r="44" spans="1:10" x14ac:dyDescent="0.35">
      <c r="A44" s="2">
        <v>43</v>
      </c>
      <c r="B44" s="2" t="s">
        <v>85</v>
      </c>
      <c r="C44" s="2" t="s">
        <v>34</v>
      </c>
      <c r="D44" s="2" t="s">
        <v>12</v>
      </c>
      <c r="E44" s="2" t="s">
        <v>22</v>
      </c>
      <c r="F44" s="2" t="s">
        <v>72</v>
      </c>
      <c r="G44" s="2">
        <v>5</v>
      </c>
      <c r="H44" s="3">
        <v>80</v>
      </c>
      <c r="I44" s="4">
        <v>0</v>
      </c>
      <c r="J44" s="3">
        <f t="shared" si="1"/>
        <v>400</v>
      </c>
    </row>
    <row r="45" spans="1:10" x14ac:dyDescent="0.35">
      <c r="A45" s="5">
        <v>44</v>
      </c>
      <c r="B45" s="5" t="s">
        <v>86</v>
      </c>
      <c r="C45" s="5" t="s">
        <v>25</v>
      </c>
      <c r="D45" s="5" t="s">
        <v>41</v>
      </c>
      <c r="E45" s="5" t="s">
        <v>18</v>
      </c>
      <c r="F45" s="5" t="s">
        <v>19</v>
      </c>
      <c r="G45" s="5">
        <v>2</v>
      </c>
      <c r="H45" s="6">
        <v>45</v>
      </c>
      <c r="I45" s="7">
        <v>10</v>
      </c>
      <c r="J45" s="6">
        <f t="shared" si="1"/>
        <v>81</v>
      </c>
    </row>
    <row r="46" spans="1:10" x14ac:dyDescent="0.35">
      <c r="A46" s="2">
        <v>45</v>
      </c>
      <c r="B46" s="2" t="s">
        <v>87</v>
      </c>
      <c r="C46" s="2" t="s">
        <v>11</v>
      </c>
      <c r="D46" s="2" t="s">
        <v>17</v>
      </c>
      <c r="E46" s="2" t="s">
        <v>18</v>
      </c>
      <c r="F46" s="2" t="s">
        <v>32</v>
      </c>
      <c r="G46" s="2">
        <v>5</v>
      </c>
      <c r="H46" s="3">
        <v>60</v>
      </c>
      <c r="I46" s="4">
        <v>10</v>
      </c>
      <c r="J46" s="3">
        <f t="shared" si="1"/>
        <v>270</v>
      </c>
    </row>
    <row r="47" spans="1:10" x14ac:dyDescent="0.35">
      <c r="A47" s="5">
        <v>46</v>
      </c>
      <c r="B47" s="5" t="s">
        <v>88</v>
      </c>
      <c r="C47" s="5" t="s">
        <v>31</v>
      </c>
      <c r="D47" s="5" t="s">
        <v>35</v>
      </c>
      <c r="E47" s="5" t="s">
        <v>22</v>
      </c>
      <c r="F47" s="5" t="s">
        <v>47</v>
      </c>
      <c r="G47" s="5">
        <v>2</v>
      </c>
      <c r="H47" s="6">
        <v>50</v>
      </c>
      <c r="I47" s="7">
        <v>0</v>
      </c>
      <c r="J47" s="6">
        <f t="shared" si="1"/>
        <v>100</v>
      </c>
    </row>
    <row r="48" spans="1:10" x14ac:dyDescent="0.35">
      <c r="A48" s="2">
        <v>47</v>
      </c>
      <c r="B48" s="2" t="s">
        <v>89</v>
      </c>
      <c r="C48" s="2" t="s">
        <v>25</v>
      </c>
      <c r="D48" s="2" t="s">
        <v>35</v>
      </c>
      <c r="E48" s="2" t="s">
        <v>26</v>
      </c>
      <c r="F48" s="2" t="s">
        <v>29</v>
      </c>
      <c r="G48" s="2">
        <v>1</v>
      </c>
      <c r="H48" s="3">
        <v>85</v>
      </c>
      <c r="I48" s="4">
        <v>0</v>
      </c>
      <c r="J48" s="3">
        <f t="shared" si="1"/>
        <v>85</v>
      </c>
    </row>
    <row r="49" spans="1:10" x14ac:dyDescent="0.35">
      <c r="A49" s="5">
        <v>48</v>
      </c>
      <c r="B49" s="5" t="s">
        <v>90</v>
      </c>
      <c r="C49" s="5" t="s">
        <v>34</v>
      </c>
      <c r="D49" s="5" t="s">
        <v>17</v>
      </c>
      <c r="E49" s="5" t="s">
        <v>18</v>
      </c>
      <c r="F49" s="5" t="s">
        <v>77</v>
      </c>
      <c r="G49" s="5">
        <v>5</v>
      </c>
      <c r="H49" s="6">
        <v>25</v>
      </c>
      <c r="I49" s="7">
        <v>0</v>
      </c>
      <c r="J49" s="6">
        <f t="shared" si="1"/>
        <v>125</v>
      </c>
    </row>
    <row r="50" spans="1:10" x14ac:dyDescent="0.35">
      <c r="A50" s="2">
        <v>49</v>
      </c>
      <c r="B50" s="2" t="s">
        <v>91</v>
      </c>
      <c r="C50" s="2" t="s">
        <v>31</v>
      </c>
      <c r="D50" s="2" t="s">
        <v>21</v>
      </c>
      <c r="E50" s="2" t="s">
        <v>13</v>
      </c>
      <c r="F50" s="2" t="s">
        <v>44</v>
      </c>
      <c r="G50" s="2">
        <v>2</v>
      </c>
      <c r="H50" s="3">
        <v>35</v>
      </c>
      <c r="I50" s="4">
        <v>0</v>
      </c>
      <c r="J50" s="3">
        <f t="shared" si="1"/>
        <v>70</v>
      </c>
    </row>
    <row r="51" spans="1:10" x14ac:dyDescent="0.35">
      <c r="A51" s="5">
        <v>50</v>
      </c>
      <c r="B51" s="5" t="s">
        <v>92</v>
      </c>
      <c r="C51" s="5" t="s">
        <v>25</v>
      </c>
      <c r="D51" s="5" t="s">
        <v>41</v>
      </c>
      <c r="E51" s="5" t="s">
        <v>13</v>
      </c>
      <c r="F51" s="5" t="s">
        <v>37</v>
      </c>
      <c r="G51" s="5">
        <v>5</v>
      </c>
      <c r="H51" s="6">
        <v>45</v>
      </c>
      <c r="I51" s="7">
        <v>0</v>
      </c>
      <c r="J51" s="6">
        <f t="shared" si="1"/>
        <v>225</v>
      </c>
    </row>
    <row r="52" spans="1:10" x14ac:dyDescent="0.35">
      <c r="A52" s="2">
        <v>51</v>
      </c>
      <c r="B52" s="2" t="s">
        <v>93</v>
      </c>
      <c r="C52" s="2" t="s">
        <v>34</v>
      </c>
      <c r="D52" s="2" t="s">
        <v>35</v>
      </c>
      <c r="E52" s="2" t="s">
        <v>18</v>
      </c>
      <c r="F52" s="2" t="s">
        <v>39</v>
      </c>
      <c r="G52" s="2">
        <v>3</v>
      </c>
      <c r="H52" s="3">
        <v>55</v>
      </c>
      <c r="I52" s="4">
        <v>0</v>
      </c>
      <c r="J52" s="3">
        <f t="shared" si="1"/>
        <v>165</v>
      </c>
    </row>
    <row r="53" spans="1:10" x14ac:dyDescent="0.35">
      <c r="A53" s="5">
        <v>52</v>
      </c>
      <c r="B53" s="5" t="s">
        <v>94</v>
      </c>
      <c r="C53" s="5" t="s">
        <v>16</v>
      </c>
      <c r="D53" s="5" t="s">
        <v>17</v>
      </c>
      <c r="E53" s="5" t="s">
        <v>22</v>
      </c>
      <c r="F53" s="5" t="s">
        <v>47</v>
      </c>
      <c r="G53" s="5">
        <v>3</v>
      </c>
      <c r="H53" s="6">
        <v>50</v>
      </c>
      <c r="I53" s="7">
        <v>10</v>
      </c>
      <c r="J53" s="6">
        <f t="shared" si="1"/>
        <v>135</v>
      </c>
    </row>
    <row r="54" spans="1:10" x14ac:dyDescent="0.35">
      <c r="A54" s="2">
        <v>53</v>
      </c>
      <c r="B54" s="2" t="s">
        <v>95</v>
      </c>
      <c r="C54" s="2" t="s">
        <v>16</v>
      </c>
      <c r="D54" s="2" t="s">
        <v>35</v>
      </c>
      <c r="E54" s="2" t="s">
        <v>22</v>
      </c>
      <c r="F54" s="2" t="s">
        <v>47</v>
      </c>
      <c r="G54" s="2">
        <v>5</v>
      </c>
      <c r="H54" s="3">
        <v>50</v>
      </c>
      <c r="I54" s="4">
        <v>5</v>
      </c>
      <c r="J54" s="3">
        <f t="shared" si="1"/>
        <v>237.5</v>
      </c>
    </row>
    <row r="55" spans="1:10" x14ac:dyDescent="0.35">
      <c r="A55" s="5">
        <v>54</v>
      </c>
      <c r="B55" s="5" t="s">
        <v>96</v>
      </c>
      <c r="C55" s="5" t="s">
        <v>11</v>
      </c>
      <c r="D55" s="5" t="s">
        <v>12</v>
      </c>
      <c r="E55" s="5" t="s">
        <v>26</v>
      </c>
      <c r="F55" s="5" t="s">
        <v>29</v>
      </c>
      <c r="G55" s="5">
        <v>1</v>
      </c>
      <c r="H55" s="6">
        <v>85</v>
      </c>
      <c r="I55" s="7">
        <v>0</v>
      </c>
      <c r="J55" s="6">
        <f t="shared" si="1"/>
        <v>85</v>
      </c>
    </row>
    <row r="56" spans="1:10" x14ac:dyDescent="0.35">
      <c r="A56" s="2">
        <v>55</v>
      </c>
      <c r="B56" s="2" t="s">
        <v>97</v>
      </c>
      <c r="C56" s="2" t="s">
        <v>25</v>
      </c>
      <c r="D56" s="2" t="s">
        <v>35</v>
      </c>
      <c r="E56" s="2" t="s">
        <v>22</v>
      </c>
      <c r="F56" s="2" t="s">
        <v>46</v>
      </c>
      <c r="G56" s="2">
        <v>0</v>
      </c>
      <c r="H56" s="3">
        <v>40</v>
      </c>
      <c r="I56" s="4">
        <v>15</v>
      </c>
      <c r="J56" s="3">
        <f t="shared" si="1"/>
        <v>0</v>
      </c>
    </row>
    <row r="57" spans="1:10" x14ac:dyDescent="0.35">
      <c r="A57" s="5">
        <v>56</v>
      </c>
      <c r="B57" s="5" t="s">
        <v>98</v>
      </c>
      <c r="C57" s="5" t="s">
        <v>34</v>
      </c>
      <c r="D57" s="5" t="s">
        <v>12</v>
      </c>
      <c r="E57" s="5" t="s">
        <v>18</v>
      </c>
      <c r="F57" s="5" t="s">
        <v>77</v>
      </c>
      <c r="G57" s="5">
        <v>2</v>
      </c>
      <c r="H57" s="6">
        <v>25</v>
      </c>
      <c r="I57" s="7">
        <v>10</v>
      </c>
      <c r="J57" s="6">
        <f t="shared" si="1"/>
        <v>45</v>
      </c>
    </row>
    <row r="58" spans="1:10" x14ac:dyDescent="0.35">
      <c r="A58" s="2">
        <v>57</v>
      </c>
      <c r="B58" s="2" t="s">
        <v>99</v>
      </c>
      <c r="C58" s="2" t="s">
        <v>31</v>
      </c>
      <c r="D58" s="2" t="s">
        <v>17</v>
      </c>
      <c r="E58" s="2" t="s">
        <v>22</v>
      </c>
      <c r="F58" s="2" t="s">
        <v>46</v>
      </c>
      <c r="G58" s="2">
        <v>2</v>
      </c>
      <c r="H58" s="3">
        <v>40</v>
      </c>
      <c r="I58" s="4">
        <v>0</v>
      </c>
      <c r="J58" s="3">
        <f t="shared" si="1"/>
        <v>80</v>
      </c>
    </row>
    <row r="59" spans="1:10" x14ac:dyDescent="0.35">
      <c r="A59" s="5">
        <v>58</v>
      </c>
      <c r="B59" s="5" t="s">
        <v>100</v>
      </c>
      <c r="C59" s="5" t="s">
        <v>31</v>
      </c>
      <c r="D59" s="5" t="s">
        <v>12</v>
      </c>
      <c r="E59" s="5" t="s">
        <v>13</v>
      </c>
      <c r="F59" s="5" t="s">
        <v>14</v>
      </c>
      <c r="G59" s="5">
        <v>2</v>
      </c>
      <c r="H59" s="6">
        <v>30</v>
      </c>
      <c r="I59" s="7">
        <v>15</v>
      </c>
      <c r="J59" s="6">
        <f t="shared" si="1"/>
        <v>51</v>
      </c>
    </row>
    <row r="60" spans="1:10" x14ac:dyDescent="0.35">
      <c r="A60" s="2">
        <v>59</v>
      </c>
      <c r="B60" s="2" t="s">
        <v>15</v>
      </c>
      <c r="C60" s="2" t="s">
        <v>31</v>
      </c>
      <c r="D60" s="2" t="s">
        <v>17</v>
      </c>
      <c r="E60" s="2" t="s">
        <v>26</v>
      </c>
      <c r="F60" s="2" t="s">
        <v>57</v>
      </c>
      <c r="G60" s="2">
        <v>2</v>
      </c>
      <c r="H60" s="3">
        <v>150</v>
      </c>
      <c r="I60" s="4">
        <v>0</v>
      </c>
      <c r="J60" s="3">
        <f t="shared" si="1"/>
        <v>300</v>
      </c>
    </row>
    <row r="61" spans="1:10" x14ac:dyDescent="0.35">
      <c r="A61" s="5">
        <v>60</v>
      </c>
      <c r="B61" s="5" t="s">
        <v>101</v>
      </c>
      <c r="C61" s="5" t="s">
        <v>25</v>
      </c>
      <c r="D61" s="5" t="s">
        <v>41</v>
      </c>
      <c r="E61" s="5" t="s">
        <v>18</v>
      </c>
      <c r="F61" s="5" t="s">
        <v>39</v>
      </c>
      <c r="G61" s="5">
        <v>3</v>
      </c>
      <c r="H61" s="6">
        <v>55</v>
      </c>
      <c r="I61" s="7">
        <v>20</v>
      </c>
      <c r="J61" s="6">
        <f t="shared" si="1"/>
        <v>132</v>
      </c>
    </row>
    <row r="62" spans="1:10" x14ac:dyDescent="0.35">
      <c r="A62" s="2">
        <v>61</v>
      </c>
      <c r="B62" s="2" t="s">
        <v>76</v>
      </c>
      <c r="C62" s="2" t="s">
        <v>16</v>
      </c>
      <c r="D62" s="2" t="s">
        <v>21</v>
      </c>
      <c r="E62" s="2" t="s">
        <v>13</v>
      </c>
      <c r="F62" s="2" t="s">
        <v>14</v>
      </c>
      <c r="G62" s="2">
        <v>1</v>
      </c>
      <c r="H62" s="3">
        <v>30</v>
      </c>
      <c r="I62" s="4">
        <v>5</v>
      </c>
      <c r="J62" s="3">
        <f t="shared" si="1"/>
        <v>28.5</v>
      </c>
    </row>
    <row r="63" spans="1:10" x14ac:dyDescent="0.35">
      <c r="A63" s="5">
        <v>62</v>
      </c>
      <c r="B63" s="5" t="s">
        <v>99</v>
      </c>
      <c r="C63" s="5" t="s">
        <v>56</v>
      </c>
      <c r="D63" s="5" t="s">
        <v>21</v>
      </c>
      <c r="E63" s="5" t="s">
        <v>22</v>
      </c>
      <c r="F63" s="5" t="s">
        <v>46</v>
      </c>
      <c r="G63" s="5">
        <v>3</v>
      </c>
      <c r="H63" s="6">
        <v>40</v>
      </c>
      <c r="I63" s="7">
        <v>0</v>
      </c>
      <c r="J63" s="6">
        <f t="shared" si="1"/>
        <v>120</v>
      </c>
    </row>
    <row r="64" spans="1:10" x14ac:dyDescent="0.35">
      <c r="A64" s="2">
        <v>63</v>
      </c>
      <c r="B64" s="2" t="s">
        <v>102</v>
      </c>
      <c r="C64" s="2" t="s">
        <v>25</v>
      </c>
      <c r="D64" s="2" t="s">
        <v>12</v>
      </c>
      <c r="E64" s="2" t="s">
        <v>22</v>
      </c>
      <c r="F64" s="2" t="s">
        <v>46</v>
      </c>
      <c r="G64" s="2">
        <v>3</v>
      </c>
      <c r="H64" s="3">
        <v>40</v>
      </c>
      <c r="I64" s="4">
        <v>0</v>
      </c>
      <c r="J64" s="3">
        <f t="shared" si="1"/>
        <v>120</v>
      </c>
    </row>
    <row r="65" spans="1:10" x14ac:dyDescent="0.35">
      <c r="A65" s="5">
        <v>64</v>
      </c>
      <c r="B65" s="5" t="s">
        <v>103</v>
      </c>
      <c r="C65" s="5" t="s">
        <v>31</v>
      </c>
      <c r="D65" s="5" t="s">
        <v>35</v>
      </c>
      <c r="E65" s="5" t="s">
        <v>26</v>
      </c>
      <c r="F65" s="5" t="s">
        <v>57</v>
      </c>
      <c r="G65" s="5">
        <v>3</v>
      </c>
      <c r="H65" s="6">
        <v>150</v>
      </c>
      <c r="I65" s="7">
        <v>0</v>
      </c>
      <c r="J65" s="6">
        <f t="shared" si="1"/>
        <v>450</v>
      </c>
    </row>
    <row r="66" spans="1:10" x14ac:dyDescent="0.35">
      <c r="A66" s="2">
        <v>65</v>
      </c>
      <c r="B66" s="2" t="s">
        <v>104</v>
      </c>
      <c r="C66" s="2" t="s">
        <v>31</v>
      </c>
      <c r="D66" s="2" t="s">
        <v>21</v>
      </c>
      <c r="E66" s="2" t="s">
        <v>13</v>
      </c>
      <c r="F66" s="2" t="s">
        <v>44</v>
      </c>
      <c r="G66" s="2">
        <v>1</v>
      </c>
      <c r="H66" s="3">
        <v>35</v>
      </c>
      <c r="I66" s="4">
        <v>10</v>
      </c>
      <c r="J66" s="3">
        <f t="shared" ref="J66:J97" si="2">G66*H66*(1-I66/100)</f>
        <v>31.5</v>
      </c>
    </row>
    <row r="67" spans="1:10" x14ac:dyDescent="0.35">
      <c r="A67" s="5">
        <v>66</v>
      </c>
      <c r="B67" s="5" t="s">
        <v>60</v>
      </c>
      <c r="C67" s="5" t="s">
        <v>31</v>
      </c>
      <c r="D67" s="5" t="s">
        <v>35</v>
      </c>
      <c r="E67" s="5" t="s">
        <v>26</v>
      </c>
      <c r="F67" s="5" t="s">
        <v>57</v>
      </c>
      <c r="G67" s="5">
        <v>5</v>
      </c>
      <c r="H67" s="6">
        <v>150</v>
      </c>
      <c r="I67" s="7">
        <v>0</v>
      </c>
      <c r="J67" s="6">
        <f t="shared" si="2"/>
        <v>750</v>
      </c>
    </row>
    <row r="68" spans="1:10" x14ac:dyDescent="0.35">
      <c r="A68" s="2">
        <v>67</v>
      </c>
      <c r="B68" s="2" t="s">
        <v>55</v>
      </c>
      <c r="C68" s="2" t="s">
        <v>34</v>
      </c>
      <c r="D68" s="2" t="s">
        <v>21</v>
      </c>
      <c r="E68" s="2" t="s">
        <v>13</v>
      </c>
      <c r="F68" s="2" t="s">
        <v>44</v>
      </c>
      <c r="G68" s="2">
        <v>4</v>
      </c>
      <c r="H68" s="3">
        <v>35</v>
      </c>
      <c r="I68" s="4">
        <v>0</v>
      </c>
      <c r="J68" s="3">
        <f t="shared" si="2"/>
        <v>140</v>
      </c>
    </row>
    <row r="69" spans="1:10" x14ac:dyDescent="0.35">
      <c r="A69" s="5">
        <v>68</v>
      </c>
      <c r="B69" s="5" t="s">
        <v>88</v>
      </c>
      <c r="C69" s="5" t="s">
        <v>34</v>
      </c>
      <c r="D69" s="5" t="s">
        <v>21</v>
      </c>
      <c r="E69" s="5" t="s">
        <v>13</v>
      </c>
      <c r="F69" s="5" t="s">
        <v>42</v>
      </c>
      <c r="G69" s="5">
        <v>1</v>
      </c>
      <c r="H69" s="6">
        <v>90</v>
      </c>
      <c r="I69" s="7">
        <v>15</v>
      </c>
      <c r="J69" s="6">
        <f t="shared" si="2"/>
        <v>76.5</v>
      </c>
    </row>
    <row r="70" spans="1:10" x14ac:dyDescent="0.35">
      <c r="A70" s="2">
        <v>69</v>
      </c>
      <c r="B70" s="2" t="s">
        <v>73</v>
      </c>
      <c r="C70" s="2" t="s">
        <v>34</v>
      </c>
      <c r="D70" s="2" t="s">
        <v>35</v>
      </c>
      <c r="E70" s="2" t="s">
        <v>18</v>
      </c>
      <c r="F70" s="2" t="s">
        <v>61</v>
      </c>
      <c r="G70" s="2">
        <v>5</v>
      </c>
      <c r="H70" s="3">
        <v>75</v>
      </c>
      <c r="I70" s="4">
        <v>0</v>
      </c>
      <c r="J70" s="3">
        <f t="shared" si="2"/>
        <v>375</v>
      </c>
    </row>
    <row r="71" spans="1:10" x14ac:dyDescent="0.35">
      <c r="A71" s="5">
        <v>70</v>
      </c>
      <c r="B71" s="5" t="s">
        <v>93</v>
      </c>
      <c r="C71" s="5" t="s">
        <v>56</v>
      </c>
      <c r="D71" s="5" t="s">
        <v>35</v>
      </c>
      <c r="E71" s="5" t="s">
        <v>26</v>
      </c>
      <c r="F71" s="5" t="s">
        <v>29</v>
      </c>
      <c r="G71" s="5">
        <v>5</v>
      </c>
      <c r="H71" s="6">
        <v>85</v>
      </c>
      <c r="I71" s="7">
        <v>0</v>
      </c>
      <c r="J71" s="6">
        <f t="shared" si="2"/>
        <v>425</v>
      </c>
    </row>
    <row r="72" spans="1:10" x14ac:dyDescent="0.35">
      <c r="A72" s="2">
        <v>71</v>
      </c>
      <c r="B72" s="2" t="s">
        <v>38</v>
      </c>
      <c r="C72" s="2" t="s">
        <v>56</v>
      </c>
      <c r="D72" s="2" t="s">
        <v>41</v>
      </c>
      <c r="E72" s="2" t="s">
        <v>22</v>
      </c>
      <c r="F72" s="2" t="s">
        <v>23</v>
      </c>
      <c r="G72" s="2">
        <v>5</v>
      </c>
      <c r="H72" s="3">
        <v>65</v>
      </c>
      <c r="I72" s="4">
        <v>0</v>
      </c>
      <c r="J72" s="3">
        <f t="shared" si="2"/>
        <v>325</v>
      </c>
    </row>
    <row r="73" spans="1:10" x14ac:dyDescent="0.35">
      <c r="A73" s="5">
        <v>72</v>
      </c>
      <c r="B73" s="5" t="s">
        <v>105</v>
      </c>
      <c r="C73" s="5" t="s">
        <v>34</v>
      </c>
      <c r="D73" s="5" t="s">
        <v>12</v>
      </c>
      <c r="E73" s="5" t="s">
        <v>13</v>
      </c>
      <c r="F73" s="5" t="s">
        <v>59</v>
      </c>
      <c r="G73" s="5">
        <v>2</v>
      </c>
      <c r="H73" s="6">
        <v>20</v>
      </c>
      <c r="I73" s="7">
        <v>5</v>
      </c>
      <c r="J73" s="6">
        <f t="shared" si="2"/>
        <v>38</v>
      </c>
    </row>
    <row r="74" spans="1:10" x14ac:dyDescent="0.35">
      <c r="A74" s="2">
        <v>73</v>
      </c>
      <c r="B74" s="2" t="s">
        <v>106</v>
      </c>
      <c r="C74" s="2" t="s">
        <v>34</v>
      </c>
      <c r="D74" s="2" t="s">
        <v>35</v>
      </c>
      <c r="E74" s="2" t="s">
        <v>26</v>
      </c>
      <c r="F74" s="2" t="s">
        <v>51</v>
      </c>
      <c r="G74" s="2">
        <v>4</v>
      </c>
      <c r="H74" s="3">
        <v>60</v>
      </c>
      <c r="I74" s="4">
        <v>15</v>
      </c>
      <c r="J74" s="3">
        <f t="shared" si="2"/>
        <v>204</v>
      </c>
    </row>
    <row r="75" spans="1:10" x14ac:dyDescent="0.35">
      <c r="A75" s="5">
        <v>74</v>
      </c>
      <c r="B75" s="5" t="s">
        <v>82</v>
      </c>
      <c r="C75" s="5" t="s">
        <v>34</v>
      </c>
      <c r="D75" s="5" t="s">
        <v>41</v>
      </c>
      <c r="E75" s="5" t="s">
        <v>22</v>
      </c>
      <c r="F75" s="5" t="s">
        <v>72</v>
      </c>
      <c r="G75" s="5">
        <v>3</v>
      </c>
      <c r="H75" s="6">
        <v>80</v>
      </c>
      <c r="I75" s="7">
        <v>10</v>
      </c>
      <c r="J75" s="6">
        <f t="shared" si="2"/>
        <v>216</v>
      </c>
    </row>
    <row r="76" spans="1:10" x14ac:dyDescent="0.35">
      <c r="A76" s="2">
        <v>75</v>
      </c>
      <c r="B76" s="2" t="s">
        <v>107</v>
      </c>
      <c r="C76" s="2" t="s">
        <v>16</v>
      </c>
      <c r="D76" s="2" t="s">
        <v>17</v>
      </c>
      <c r="E76" s="2" t="s">
        <v>13</v>
      </c>
      <c r="F76" s="2" t="s">
        <v>44</v>
      </c>
      <c r="G76" s="2">
        <v>2</v>
      </c>
      <c r="H76" s="3">
        <v>35</v>
      </c>
      <c r="I76" s="4">
        <v>15</v>
      </c>
      <c r="J76" s="3">
        <f t="shared" si="2"/>
        <v>59.5</v>
      </c>
    </row>
    <row r="77" spans="1:10" x14ac:dyDescent="0.35">
      <c r="A77" s="5">
        <v>76</v>
      </c>
      <c r="B77" s="5" t="s">
        <v>108</v>
      </c>
      <c r="C77" s="5" t="s">
        <v>25</v>
      </c>
      <c r="D77" s="5" t="s">
        <v>21</v>
      </c>
      <c r="E77" s="5" t="s">
        <v>22</v>
      </c>
      <c r="F77" s="5" t="s">
        <v>72</v>
      </c>
      <c r="G77" s="5">
        <v>1</v>
      </c>
      <c r="H77" s="6">
        <v>80</v>
      </c>
      <c r="I77" s="7">
        <v>0</v>
      </c>
      <c r="J77" s="6">
        <f t="shared" si="2"/>
        <v>80</v>
      </c>
    </row>
    <row r="78" spans="1:10" x14ac:dyDescent="0.35">
      <c r="A78" s="2">
        <v>77</v>
      </c>
      <c r="B78" s="2" t="s">
        <v>109</v>
      </c>
      <c r="C78" s="2" t="s">
        <v>34</v>
      </c>
      <c r="D78" s="2" t="s">
        <v>12</v>
      </c>
      <c r="E78" s="2" t="s">
        <v>26</v>
      </c>
      <c r="F78" s="2" t="s">
        <v>51</v>
      </c>
      <c r="G78" s="2">
        <v>5</v>
      </c>
      <c r="H78" s="3">
        <v>60</v>
      </c>
      <c r="I78" s="4">
        <v>0</v>
      </c>
      <c r="J78" s="3">
        <f t="shared" si="2"/>
        <v>300</v>
      </c>
    </row>
    <row r="79" spans="1:10" x14ac:dyDescent="0.35">
      <c r="A79" s="5">
        <v>78</v>
      </c>
      <c r="B79" s="5" t="s">
        <v>110</v>
      </c>
      <c r="C79" s="5" t="s">
        <v>56</v>
      </c>
      <c r="D79" s="5" t="s">
        <v>41</v>
      </c>
      <c r="E79" s="5" t="s">
        <v>26</v>
      </c>
      <c r="F79" s="5" t="s">
        <v>27</v>
      </c>
      <c r="G79" s="5">
        <v>2</v>
      </c>
      <c r="H79" s="6">
        <v>120</v>
      </c>
      <c r="I79" s="7">
        <v>15</v>
      </c>
      <c r="J79" s="6">
        <f t="shared" si="2"/>
        <v>204</v>
      </c>
    </row>
    <row r="80" spans="1:10" x14ac:dyDescent="0.35">
      <c r="A80" s="2">
        <v>79</v>
      </c>
      <c r="B80" s="2" t="s">
        <v>111</v>
      </c>
      <c r="C80" s="2" t="s">
        <v>11</v>
      </c>
      <c r="D80" s="2" t="s">
        <v>12</v>
      </c>
      <c r="E80" s="2" t="s">
        <v>26</v>
      </c>
      <c r="F80" s="2" t="s">
        <v>27</v>
      </c>
      <c r="G80" s="2">
        <v>2</v>
      </c>
      <c r="H80" s="3">
        <v>120</v>
      </c>
      <c r="I80" s="4">
        <v>20</v>
      </c>
      <c r="J80" s="3">
        <f t="shared" si="2"/>
        <v>192</v>
      </c>
    </row>
    <row r="81" spans="1:10" x14ac:dyDescent="0.35">
      <c r="A81" s="5">
        <v>80</v>
      </c>
      <c r="B81" s="5" t="s">
        <v>110</v>
      </c>
      <c r="C81" s="5" t="s">
        <v>34</v>
      </c>
      <c r="D81" s="5" t="s">
        <v>41</v>
      </c>
      <c r="E81" s="5" t="s">
        <v>18</v>
      </c>
      <c r="F81" s="5" t="s">
        <v>19</v>
      </c>
      <c r="G81" s="5">
        <v>2</v>
      </c>
      <c r="H81" s="6">
        <v>45</v>
      </c>
      <c r="I81" s="7">
        <v>20</v>
      </c>
      <c r="J81" s="6">
        <f t="shared" si="2"/>
        <v>72</v>
      </c>
    </row>
    <row r="82" spans="1:10" x14ac:dyDescent="0.35">
      <c r="A82" s="2">
        <v>81</v>
      </c>
      <c r="B82" s="2" t="s">
        <v>112</v>
      </c>
      <c r="C82" s="2" t="s">
        <v>56</v>
      </c>
      <c r="D82" s="2" t="s">
        <v>21</v>
      </c>
      <c r="E82" s="2" t="s">
        <v>26</v>
      </c>
      <c r="F82" s="2" t="s">
        <v>57</v>
      </c>
      <c r="G82" s="2">
        <v>5</v>
      </c>
      <c r="H82" s="3">
        <v>150</v>
      </c>
      <c r="I82" s="4">
        <v>10</v>
      </c>
      <c r="J82" s="3">
        <f t="shared" si="2"/>
        <v>675</v>
      </c>
    </row>
    <row r="83" spans="1:10" x14ac:dyDescent="0.35">
      <c r="A83" s="5">
        <v>82</v>
      </c>
      <c r="B83" s="5" t="s">
        <v>113</v>
      </c>
      <c r="C83" s="5" t="s">
        <v>56</v>
      </c>
      <c r="D83" s="5" t="s">
        <v>17</v>
      </c>
      <c r="E83" s="5" t="s">
        <v>26</v>
      </c>
      <c r="F83" s="5" t="s">
        <v>57</v>
      </c>
      <c r="G83" s="5">
        <v>4</v>
      </c>
      <c r="H83" s="6">
        <v>150</v>
      </c>
      <c r="I83" s="7">
        <v>0</v>
      </c>
      <c r="J83" s="6">
        <f t="shared" si="2"/>
        <v>600</v>
      </c>
    </row>
    <row r="84" spans="1:10" x14ac:dyDescent="0.35">
      <c r="A84" s="2">
        <v>83</v>
      </c>
      <c r="B84" s="2" t="s">
        <v>109</v>
      </c>
      <c r="C84" s="2" t="s">
        <v>56</v>
      </c>
      <c r="D84" s="2" t="s">
        <v>35</v>
      </c>
      <c r="E84" s="2" t="s">
        <v>22</v>
      </c>
      <c r="F84" s="2" t="s">
        <v>47</v>
      </c>
      <c r="G84" s="2">
        <v>5</v>
      </c>
      <c r="H84" s="3">
        <v>50</v>
      </c>
      <c r="I84" s="4">
        <v>5</v>
      </c>
      <c r="J84" s="3">
        <f t="shared" si="2"/>
        <v>237.5</v>
      </c>
    </row>
    <row r="85" spans="1:10" x14ac:dyDescent="0.35">
      <c r="A85" s="5">
        <v>84</v>
      </c>
      <c r="B85" s="5" t="s">
        <v>114</v>
      </c>
      <c r="C85" s="5" t="s">
        <v>25</v>
      </c>
      <c r="D85" s="5" t="s">
        <v>35</v>
      </c>
      <c r="E85" s="5" t="s">
        <v>26</v>
      </c>
      <c r="F85" s="5" t="s">
        <v>66</v>
      </c>
      <c r="G85" s="5">
        <v>3</v>
      </c>
      <c r="H85" s="6">
        <v>95</v>
      </c>
      <c r="I85" s="7">
        <v>0</v>
      </c>
      <c r="J85" s="6">
        <f t="shared" si="2"/>
        <v>285</v>
      </c>
    </row>
    <row r="86" spans="1:10" x14ac:dyDescent="0.35">
      <c r="A86" s="2">
        <v>85</v>
      </c>
      <c r="B86" s="2" t="s">
        <v>115</v>
      </c>
      <c r="C86" s="2" t="s">
        <v>31</v>
      </c>
      <c r="D86" s="2" t="s">
        <v>35</v>
      </c>
      <c r="E86" s="2" t="s">
        <v>18</v>
      </c>
      <c r="F86" s="2" t="s">
        <v>39</v>
      </c>
      <c r="G86" s="2">
        <v>2</v>
      </c>
      <c r="H86" s="3">
        <v>55</v>
      </c>
      <c r="I86" s="4">
        <v>0</v>
      </c>
      <c r="J86" s="3">
        <f t="shared" si="2"/>
        <v>110</v>
      </c>
    </row>
    <row r="87" spans="1:10" x14ac:dyDescent="0.35">
      <c r="A87" s="5">
        <v>86</v>
      </c>
      <c r="B87" s="5" t="s">
        <v>55</v>
      </c>
      <c r="C87" s="5" t="s">
        <v>16</v>
      </c>
      <c r="D87" s="5" t="s">
        <v>21</v>
      </c>
      <c r="E87" s="5" t="s">
        <v>22</v>
      </c>
      <c r="F87" s="5" t="s">
        <v>72</v>
      </c>
      <c r="G87" s="5">
        <v>4</v>
      </c>
      <c r="H87" s="6">
        <v>80</v>
      </c>
      <c r="I87" s="7">
        <v>5</v>
      </c>
      <c r="J87" s="6">
        <f t="shared" si="2"/>
        <v>304</v>
      </c>
    </row>
    <row r="88" spans="1:10" x14ac:dyDescent="0.35">
      <c r="A88" s="2">
        <v>87</v>
      </c>
      <c r="B88" s="2" t="s">
        <v>73</v>
      </c>
      <c r="C88" s="2" t="s">
        <v>116</v>
      </c>
      <c r="D88" s="2" t="s">
        <v>41</v>
      </c>
      <c r="E88" s="2" t="s">
        <v>26</v>
      </c>
      <c r="F88" s="2" t="s">
        <v>66</v>
      </c>
      <c r="G88" s="2">
        <v>2</v>
      </c>
      <c r="H88" s="3">
        <v>95</v>
      </c>
      <c r="I88" s="4">
        <v>20</v>
      </c>
      <c r="J88" s="3">
        <f t="shared" si="2"/>
        <v>152</v>
      </c>
    </row>
    <row r="89" spans="1:10" x14ac:dyDescent="0.35">
      <c r="A89" s="5">
        <v>88</v>
      </c>
      <c r="B89" s="5" t="s">
        <v>117</v>
      </c>
      <c r="C89" s="5" t="s">
        <v>56</v>
      </c>
      <c r="D89" s="5" t="s">
        <v>17</v>
      </c>
      <c r="E89" s="5" t="s">
        <v>18</v>
      </c>
      <c r="F89" s="5" t="s">
        <v>19</v>
      </c>
      <c r="G89" s="5">
        <v>4</v>
      </c>
      <c r="H89" s="6">
        <v>45</v>
      </c>
      <c r="I89" s="7">
        <v>5</v>
      </c>
      <c r="J89" s="6">
        <f t="shared" si="2"/>
        <v>171</v>
      </c>
    </row>
    <row r="90" spans="1:10" x14ac:dyDescent="0.35">
      <c r="A90" s="2">
        <v>89</v>
      </c>
      <c r="B90" s="2" t="s">
        <v>118</v>
      </c>
      <c r="C90" s="2" t="s">
        <v>31</v>
      </c>
      <c r="D90" s="2" t="s">
        <v>35</v>
      </c>
      <c r="E90" s="2" t="s">
        <v>26</v>
      </c>
      <c r="F90" s="2" t="s">
        <v>51</v>
      </c>
      <c r="G90" s="2">
        <v>5</v>
      </c>
      <c r="H90" s="3">
        <v>60</v>
      </c>
      <c r="I90" s="4">
        <v>15</v>
      </c>
      <c r="J90" s="3">
        <f t="shared" si="2"/>
        <v>255</v>
      </c>
    </row>
    <row r="91" spans="1:10" x14ac:dyDescent="0.35">
      <c r="A91" s="5">
        <v>90</v>
      </c>
      <c r="B91" s="5" t="s">
        <v>119</v>
      </c>
      <c r="C91" s="5" t="s">
        <v>34</v>
      </c>
      <c r="D91" s="5" t="s">
        <v>21</v>
      </c>
      <c r="E91" s="5" t="s">
        <v>26</v>
      </c>
      <c r="F91" s="5" t="s">
        <v>27</v>
      </c>
      <c r="G91" s="5">
        <v>3</v>
      </c>
      <c r="H91" s="6">
        <v>120</v>
      </c>
      <c r="I91" s="7">
        <v>5</v>
      </c>
      <c r="J91" s="6">
        <f t="shared" si="2"/>
        <v>342</v>
      </c>
    </row>
    <row r="92" spans="1:10" x14ac:dyDescent="0.35">
      <c r="A92" s="2">
        <v>91</v>
      </c>
      <c r="B92" s="2" t="s">
        <v>120</v>
      </c>
      <c r="C92" s="2" t="s">
        <v>11</v>
      </c>
      <c r="D92" s="2" t="s">
        <v>41</v>
      </c>
      <c r="E92" s="2" t="s">
        <v>13</v>
      </c>
      <c r="F92" s="2" t="s">
        <v>42</v>
      </c>
      <c r="G92" s="2">
        <v>2</v>
      </c>
      <c r="H92" s="3">
        <v>90</v>
      </c>
      <c r="I92" s="4">
        <v>20</v>
      </c>
      <c r="J92" s="3">
        <f t="shared" si="2"/>
        <v>144</v>
      </c>
    </row>
    <row r="93" spans="1:10" x14ac:dyDescent="0.35">
      <c r="A93" s="5">
        <v>92</v>
      </c>
      <c r="B93" s="5" t="s">
        <v>121</v>
      </c>
      <c r="C93" s="5" t="s">
        <v>25</v>
      </c>
      <c r="D93" s="5" t="s">
        <v>17</v>
      </c>
      <c r="E93" s="5" t="s">
        <v>18</v>
      </c>
      <c r="F93" s="5" t="s">
        <v>32</v>
      </c>
      <c r="G93" s="5">
        <v>5</v>
      </c>
      <c r="H93" s="6">
        <v>60</v>
      </c>
      <c r="I93" s="7">
        <v>10</v>
      </c>
      <c r="J93" s="6">
        <f t="shared" si="2"/>
        <v>270</v>
      </c>
    </row>
    <row r="94" spans="1:10" x14ac:dyDescent="0.35">
      <c r="A94" s="2">
        <v>93</v>
      </c>
      <c r="B94" s="2" t="s">
        <v>107</v>
      </c>
      <c r="C94" s="2" t="s">
        <v>11</v>
      </c>
      <c r="D94" s="2" t="s">
        <v>12</v>
      </c>
      <c r="E94" s="2" t="s">
        <v>26</v>
      </c>
      <c r="F94" s="2" t="s">
        <v>27</v>
      </c>
      <c r="G94" s="2">
        <v>4</v>
      </c>
      <c r="H94" s="3">
        <v>120</v>
      </c>
      <c r="I94" s="4">
        <v>0</v>
      </c>
      <c r="J94" s="3">
        <f t="shared" si="2"/>
        <v>480</v>
      </c>
    </row>
    <row r="95" spans="1:10" x14ac:dyDescent="0.35">
      <c r="A95" s="5">
        <v>94</v>
      </c>
      <c r="B95" s="5" t="s">
        <v>54</v>
      </c>
      <c r="C95" s="5" t="s">
        <v>31</v>
      </c>
      <c r="D95" s="5" t="s">
        <v>41</v>
      </c>
      <c r="E95" s="5" t="s">
        <v>13</v>
      </c>
      <c r="F95" s="5" t="s">
        <v>14</v>
      </c>
      <c r="G95" s="5">
        <v>4</v>
      </c>
      <c r="H95" s="6">
        <v>30</v>
      </c>
      <c r="I95" s="7">
        <v>0</v>
      </c>
      <c r="J95" s="6">
        <f t="shared" si="2"/>
        <v>120</v>
      </c>
    </row>
    <row r="96" spans="1:10" x14ac:dyDescent="0.35">
      <c r="A96" s="2">
        <v>95</v>
      </c>
      <c r="B96" s="2" t="s">
        <v>78</v>
      </c>
      <c r="C96" s="2" t="s">
        <v>56</v>
      </c>
      <c r="D96" s="2" t="s">
        <v>35</v>
      </c>
      <c r="E96" s="2" t="s">
        <v>26</v>
      </c>
      <c r="F96" s="2" t="s">
        <v>29</v>
      </c>
      <c r="G96" s="2">
        <v>1</v>
      </c>
      <c r="H96" s="3">
        <v>85</v>
      </c>
      <c r="I96" s="4">
        <v>5</v>
      </c>
      <c r="J96" s="3">
        <f t="shared" si="2"/>
        <v>80.75</v>
      </c>
    </row>
    <row r="97" spans="1:10" x14ac:dyDescent="0.35">
      <c r="A97" s="5">
        <v>96</v>
      </c>
      <c r="B97" s="5" t="s">
        <v>64</v>
      </c>
      <c r="C97" s="5" t="s">
        <v>16</v>
      </c>
      <c r="D97" s="5" t="s">
        <v>17</v>
      </c>
      <c r="E97" s="5" t="s">
        <v>18</v>
      </c>
      <c r="F97" s="5" t="s">
        <v>61</v>
      </c>
      <c r="G97" s="5">
        <v>2</v>
      </c>
      <c r="H97" s="6">
        <v>75</v>
      </c>
      <c r="I97" s="7">
        <v>15</v>
      </c>
      <c r="J97" s="6">
        <f t="shared" si="2"/>
        <v>127.5</v>
      </c>
    </row>
    <row r="98" spans="1:10" x14ac:dyDescent="0.35">
      <c r="A98" s="2">
        <v>97</v>
      </c>
      <c r="B98" s="2" t="s">
        <v>103</v>
      </c>
      <c r="C98" s="2" t="s">
        <v>16</v>
      </c>
      <c r="D98" s="2" t="s">
        <v>12</v>
      </c>
      <c r="E98" s="2" t="s">
        <v>18</v>
      </c>
      <c r="F98" s="2" t="s">
        <v>39</v>
      </c>
      <c r="G98" s="2">
        <v>2</v>
      </c>
      <c r="H98" s="3">
        <v>55</v>
      </c>
      <c r="I98" s="4">
        <v>20</v>
      </c>
      <c r="J98" s="3">
        <f t="shared" ref="J98:J129" si="3">G98*H98*(1-I98/100)</f>
        <v>88</v>
      </c>
    </row>
    <row r="99" spans="1:10" x14ac:dyDescent="0.35">
      <c r="A99" s="5">
        <v>98</v>
      </c>
      <c r="B99" s="5" t="s">
        <v>122</v>
      </c>
      <c r="C99" s="5" t="s">
        <v>34</v>
      </c>
      <c r="D99" s="5" t="s">
        <v>21</v>
      </c>
      <c r="E99" s="5" t="s">
        <v>22</v>
      </c>
      <c r="F99" s="5" t="s">
        <v>79</v>
      </c>
      <c r="G99" s="5">
        <v>4</v>
      </c>
      <c r="H99" s="6">
        <v>70</v>
      </c>
      <c r="I99" s="7">
        <v>15</v>
      </c>
      <c r="J99" s="6">
        <f t="shared" si="3"/>
        <v>238</v>
      </c>
    </row>
    <row r="100" spans="1:10" x14ac:dyDescent="0.35">
      <c r="A100" s="2">
        <v>99</v>
      </c>
      <c r="B100" s="2" t="s">
        <v>104</v>
      </c>
      <c r="C100" s="2" t="s">
        <v>34</v>
      </c>
      <c r="D100" s="2" t="s">
        <v>21</v>
      </c>
      <c r="E100" s="2" t="s">
        <v>26</v>
      </c>
      <c r="F100" s="2" t="s">
        <v>29</v>
      </c>
      <c r="G100" s="2">
        <v>3</v>
      </c>
      <c r="H100" s="3">
        <v>85</v>
      </c>
      <c r="I100" s="4">
        <v>-5</v>
      </c>
      <c r="J100" s="3">
        <f t="shared" si="3"/>
        <v>267.75</v>
      </c>
    </row>
    <row r="101" spans="1:10" x14ac:dyDescent="0.35">
      <c r="A101" s="5">
        <v>100</v>
      </c>
      <c r="B101" s="5" t="s">
        <v>68</v>
      </c>
      <c r="C101" s="5" t="s">
        <v>34</v>
      </c>
      <c r="D101" s="5" t="s">
        <v>12</v>
      </c>
      <c r="E101" s="5" t="s">
        <v>22</v>
      </c>
      <c r="F101" s="5" t="s">
        <v>47</v>
      </c>
      <c r="G101" s="5">
        <v>1</v>
      </c>
      <c r="H101" s="6">
        <v>50</v>
      </c>
      <c r="I101" s="7">
        <v>10</v>
      </c>
      <c r="J101" s="6">
        <f t="shared" si="3"/>
        <v>45</v>
      </c>
    </row>
    <row r="102" spans="1:10" x14ac:dyDescent="0.35">
      <c r="A102" s="2">
        <v>101</v>
      </c>
      <c r="B102" s="2" t="s">
        <v>123</v>
      </c>
      <c r="C102" s="2" t="s">
        <v>31</v>
      </c>
      <c r="D102" s="2" t="s">
        <v>17</v>
      </c>
      <c r="E102" s="2" t="s">
        <v>26</v>
      </c>
      <c r="F102" s="2" t="s">
        <v>51</v>
      </c>
      <c r="G102" s="2">
        <v>2</v>
      </c>
      <c r="H102" s="3">
        <v>60</v>
      </c>
      <c r="I102" s="4">
        <v>0</v>
      </c>
      <c r="J102" s="3">
        <f t="shared" si="3"/>
        <v>120</v>
      </c>
    </row>
    <row r="103" spans="1:10" x14ac:dyDescent="0.35">
      <c r="A103" s="5">
        <v>102</v>
      </c>
      <c r="B103" s="5" t="s">
        <v>124</v>
      </c>
      <c r="C103" s="5" t="s">
        <v>16</v>
      </c>
      <c r="D103" s="5" t="s">
        <v>21</v>
      </c>
      <c r="E103" s="5" t="s">
        <v>18</v>
      </c>
      <c r="F103" s="5" t="s">
        <v>61</v>
      </c>
      <c r="G103" s="5">
        <v>5</v>
      </c>
      <c r="H103" s="6">
        <v>75</v>
      </c>
      <c r="I103" s="7">
        <v>20</v>
      </c>
      <c r="J103" s="6">
        <f t="shared" si="3"/>
        <v>300</v>
      </c>
    </row>
    <row r="104" spans="1:10" x14ac:dyDescent="0.35">
      <c r="A104" s="2">
        <v>103</v>
      </c>
      <c r="B104" s="2" t="s">
        <v>125</v>
      </c>
      <c r="C104" s="2" t="s">
        <v>34</v>
      </c>
      <c r="D104" s="2" t="s">
        <v>12</v>
      </c>
      <c r="E104" s="2" t="s">
        <v>13</v>
      </c>
      <c r="F104" s="2" t="s">
        <v>37</v>
      </c>
      <c r="G104" s="2">
        <v>4</v>
      </c>
      <c r="H104" s="3">
        <v>45</v>
      </c>
      <c r="I104" s="4">
        <v>15</v>
      </c>
      <c r="J104" s="3">
        <f t="shared" si="3"/>
        <v>153</v>
      </c>
    </row>
    <row r="105" spans="1:10" x14ac:dyDescent="0.35">
      <c r="A105" s="5">
        <v>104</v>
      </c>
      <c r="B105" s="5" t="s">
        <v>43</v>
      </c>
      <c r="C105" s="5" t="s">
        <v>11</v>
      </c>
      <c r="D105" s="5" t="s">
        <v>17</v>
      </c>
      <c r="E105" s="5" t="s">
        <v>13</v>
      </c>
      <c r="F105" s="5" t="s">
        <v>44</v>
      </c>
      <c r="G105" s="5">
        <v>4</v>
      </c>
      <c r="H105" s="6">
        <v>35</v>
      </c>
      <c r="I105" s="7">
        <v>20</v>
      </c>
      <c r="J105" s="6">
        <f t="shared" si="3"/>
        <v>112</v>
      </c>
    </row>
    <row r="106" spans="1:10" x14ac:dyDescent="0.35">
      <c r="A106" s="2">
        <v>105</v>
      </c>
      <c r="B106" s="2" t="s">
        <v>126</v>
      </c>
      <c r="C106" s="2" t="s">
        <v>11</v>
      </c>
      <c r="D106" s="2" t="s">
        <v>41</v>
      </c>
      <c r="E106" s="2" t="s">
        <v>13</v>
      </c>
      <c r="F106" s="2" t="s">
        <v>42</v>
      </c>
      <c r="G106" s="2">
        <v>2</v>
      </c>
      <c r="H106" s="3">
        <v>90</v>
      </c>
      <c r="I106" s="4">
        <v>5</v>
      </c>
      <c r="J106" s="3">
        <f t="shared" si="3"/>
        <v>171</v>
      </c>
    </row>
    <row r="107" spans="1:10" x14ac:dyDescent="0.35">
      <c r="A107" s="5">
        <v>106</v>
      </c>
      <c r="B107" s="5" t="s">
        <v>62</v>
      </c>
      <c r="C107" s="5" t="s">
        <v>16</v>
      </c>
      <c r="D107" s="5" t="s">
        <v>17</v>
      </c>
      <c r="E107" s="5" t="s">
        <v>13</v>
      </c>
      <c r="F107" s="5" t="s">
        <v>37</v>
      </c>
      <c r="G107" s="5">
        <v>5</v>
      </c>
      <c r="H107" s="6">
        <v>45</v>
      </c>
      <c r="I107" s="7">
        <v>20</v>
      </c>
      <c r="J107" s="6">
        <f t="shared" si="3"/>
        <v>180</v>
      </c>
    </row>
    <row r="108" spans="1:10" x14ac:dyDescent="0.35">
      <c r="A108" s="2">
        <v>107</v>
      </c>
      <c r="B108" s="2" t="s">
        <v>127</v>
      </c>
      <c r="C108" s="2" t="s">
        <v>56</v>
      </c>
      <c r="D108" s="2" t="s">
        <v>41</v>
      </c>
      <c r="E108" s="2" t="s">
        <v>13</v>
      </c>
      <c r="F108" s="2" t="s">
        <v>59</v>
      </c>
      <c r="G108" s="2">
        <v>2</v>
      </c>
      <c r="H108" s="3">
        <v>20</v>
      </c>
      <c r="I108" s="4">
        <v>20</v>
      </c>
      <c r="J108" s="3">
        <f t="shared" si="3"/>
        <v>32</v>
      </c>
    </row>
    <row r="109" spans="1:10" x14ac:dyDescent="0.35">
      <c r="A109" s="5">
        <v>108</v>
      </c>
      <c r="B109" s="5" t="s">
        <v>128</v>
      </c>
      <c r="C109" s="5" t="s">
        <v>31</v>
      </c>
      <c r="D109" s="5" t="s">
        <v>41</v>
      </c>
      <c r="E109" s="5" t="s">
        <v>22</v>
      </c>
      <c r="F109" s="5" t="s">
        <v>46</v>
      </c>
      <c r="G109" s="5">
        <v>5</v>
      </c>
      <c r="H109" s="6">
        <v>40</v>
      </c>
      <c r="I109" s="7">
        <v>10</v>
      </c>
      <c r="J109" s="6">
        <f t="shared" si="3"/>
        <v>180</v>
      </c>
    </row>
    <row r="110" spans="1:10" x14ac:dyDescent="0.35">
      <c r="A110" s="2">
        <v>109</v>
      </c>
      <c r="B110" s="2" t="s">
        <v>129</v>
      </c>
      <c r="C110" s="2" t="s">
        <v>56</v>
      </c>
      <c r="D110" s="2" t="s">
        <v>35</v>
      </c>
      <c r="E110" s="2" t="s">
        <v>18</v>
      </c>
      <c r="F110" s="2" t="s">
        <v>32</v>
      </c>
      <c r="G110" s="2">
        <v>3</v>
      </c>
      <c r="H110" s="3">
        <v>60</v>
      </c>
      <c r="I110" s="4">
        <v>0</v>
      </c>
      <c r="J110" s="3">
        <f t="shared" si="3"/>
        <v>180</v>
      </c>
    </row>
    <row r="111" spans="1:10" x14ac:dyDescent="0.35">
      <c r="A111" s="5">
        <v>110</v>
      </c>
      <c r="B111" s="5" t="s">
        <v>120</v>
      </c>
      <c r="C111" s="5" t="s">
        <v>25</v>
      </c>
      <c r="D111" s="5" t="s">
        <v>35</v>
      </c>
      <c r="E111" s="5" t="s">
        <v>13</v>
      </c>
      <c r="F111" s="5" t="s">
        <v>59</v>
      </c>
      <c r="G111" s="5">
        <v>3</v>
      </c>
      <c r="H111" s="6">
        <v>20</v>
      </c>
      <c r="I111" s="7">
        <v>10</v>
      </c>
      <c r="J111" s="6">
        <f t="shared" si="3"/>
        <v>54</v>
      </c>
    </row>
    <row r="112" spans="1:10" x14ac:dyDescent="0.35">
      <c r="A112" s="2">
        <v>111</v>
      </c>
      <c r="B112" s="2" t="s">
        <v>130</v>
      </c>
      <c r="C112" s="2" t="s">
        <v>31</v>
      </c>
      <c r="D112" s="2" t="s">
        <v>17</v>
      </c>
      <c r="E112" s="2" t="s">
        <v>18</v>
      </c>
      <c r="F112" s="2" t="s">
        <v>19</v>
      </c>
      <c r="G112" s="2">
        <v>2</v>
      </c>
      <c r="H112" s="3">
        <v>45</v>
      </c>
      <c r="I112" s="4">
        <v>0</v>
      </c>
      <c r="J112" s="3">
        <f t="shared" si="3"/>
        <v>90</v>
      </c>
    </row>
    <row r="113" spans="1:10" x14ac:dyDescent="0.35">
      <c r="A113" s="5">
        <v>112</v>
      </c>
      <c r="B113" s="5" t="s">
        <v>131</v>
      </c>
      <c r="C113" s="5" t="s">
        <v>16</v>
      </c>
      <c r="D113" s="5" t="s">
        <v>41</v>
      </c>
      <c r="E113" s="5" t="s">
        <v>26</v>
      </c>
      <c r="F113" s="5" t="s">
        <v>57</v>
      </c>
      <c r="G113" s="5">
        <v>2</v>
      </c>
      <c r="H113" s="6">
        <v>150</v>
      </c>
      <c r="I113" s="7">
        <v>15</v>
      </c>
      <c r="J113" s="6">
        <f t="shared" si="3"/>
        <v>255</v>
      </c>
    </row>
    <row r="114" spans="1:10" x14ac:dyDescent="0.35">
      <c r="A114" s="2">
        <v>113</v>
      </c>
      <c r="B114" s="2" t="s">
        <v>109</v>
      </c>
      <c r="C114" s="2" t="s">
        <v>16</v>
      </c>
      <c r="D114" s="2" t="s">
        <v>41</v>
      </c>
      <c r="E114" s="2" t="s">
        <v>26</v>
      </c>
      <c r="F114" s="2" t="s">
        <v>66</v>
      </c>
      <c r="G114" s="2">
        <v>1</v>
      </c>
      <c r="H114" s="3">
        <v>95</v>
      </c>
      <c r="I114" s="4">
        <v>0</v>
      </c>
      <c r="J114" s="3">
        <f t="shared" si="3"/>
        <v>95</v>
      </c>
    </row>
    <row r="115" spans="1:10" x14ac:dyDescent="0.35">
      <c r="A115" s="5">
        <v>114</v>
      </c>
      <c r="B115" s="5" t="s">
        <v>132</v>
      </c>
      <c r="C115" s="5" t="s">
        <v>56</v>
      </c>
      <c r="D115" s="5" t="s">
        <v>21</v>
      </c>
      <c r="E115" s="5" t="s">
        <v>13</v>
      </c>
      <c r="F115" s="5" t="s">
        <v>37</v>
      </c>
      <c r="G115" s="5">
        <v>3</v>
      </c>
      <c r="H115" s="6">
        <v>45</v>
      </c>
      <c r="I115" s="7">
        <v>5</v>
      </c>
      <c r="J115" s="6">
        <f t="shared" si="3"/>
        <v>128.25</v>
      </c>
    </row>
    <row r="116" spans="1:10" x14ac:dyDescent="0.35">
      <c r="A116" s="2">
        <v>115</v>
      </c>
      <c r="B116" s="2" t="s">
        <v>133</v>
      </c>
      <c r="C116" s="2" t="s">
        <v>34</v>
      </c>
      <c r="D116" s="2" t="s">
        <v>35</v>
      </c>
      <c r="E116" s="2" t="s">
        <v>26</v>
      </c>
      <c r="F116" s="2" t="s">
        <v>57</v>
      </c>
      <c r="G116" s="2">
        <v>3</v>
      </c>
      <c r="H116" s="3">
        <v>150</v>
      </c>
      <c r="I116" s="4">
        <v>0</v>
      </c>
      <c r="J116" s="3">
        <f t="shared" si="3"/>
        <v>450</v>
      </c>
    </row>
    <row r="117" spans="1:10" x14ac:dyDescent="0.35">
      <c r="A117" s="5">
        <v>116</v>
      </c>
      <c r="B117" s="5" t="s">
        <v>130</v>
      </c>
      <c r="C117" s="5" t="s">
        <v>56</v>
      </c>
      <c r="D117" s="5" t="s">
        <v>35</v>
      </c>
      <c r="E117" s="5" t="s">
        <v>13</v>
      </c>
      <c r="F117" s="5" t="s">
        <v>59</v>
      </c>
      <c r="G117" s="5">
        <v>2</v>
      </c>
      <c r="H117" s="6">
        <v>20</v>
      </c>
      <c r="I117" s="7">
        <v>0</v>
      </c>
      <c r="J117" s="6">
        <f t="shared" si="3"/>
        <v>40</v>
      </c>
    </row>
    <row r="118" spans="1:10" x14ac:dyDescent="0.35">
      <c r="A118" s="2">
        <v>117</v>
      </c>
      <c r="B118" s="2" t="s">
        <v>38</v>
      </c>
      <c r="C118" s="2" t="s">
        <v>31</v>
      </c>
      <c r="D118" s="2" t="s">
        <v>12</v>
      </c>
      <c r="E118" s="2" t="s">
        <v>22</v>
      </c>
      <c r="F118" s="2" t="s">
        <v>79</v>
      </c>
      <c r="G118" s="2">
        <v>2</v>
      </c>
      <c r="H118" s="3">
        <v>70</v>
      </c>
      <c r="I118" s="4">
        <v>15</v>
      </c>
      <c r="J118" s="3">
        <f t="shared" si="3"/>
        <v>119</v>
      </c>
    </row>
    <row r="119" spans="1:10" x14ac:dyDescent="0.35">
      <c r="A119" s="5">
        <v>118</v>
      </c>
      <c r="B119" s="5" t="s">
        <v>127</v>
      </c>
      <c r="C119" s="5" t="s">
        <v>31</v>
      </c>
      <c r="D119" s="5" t="s">
        <v>17</v>
      </c>
      <c r="E119" s="5" t="s">
        <v>13</v>
      </c>
      <c r="F119" s="5" t="s">
        <v>44</v>
      </c>
      <c r="G119" s="5">
        <v>2</v>
      </c>
      <c r="H119" s="6">
        <v>35</v>
      </c>
      <c r="I119" s="7">
        <v>0</v>
      </c>
      <c r="J119" s="6">
        <f t="shared" si="3"/>
        <v>70</v>
      </c>
    </row>
    <row r="120" spans="1:10" x14ac:dyDescent="0.35">
      <c r="A120" s="2">
        <v>119</v>
      </c>
      <c r="B120" s="2" t="s">
        <v>102</v>
      </c>
      <c r="C120" s="2" t="s">
        <v>31</v>
      </c>
      <c r="D120" s="2" t="s">
        <v>21</v>
      </c>
      <c r="E120" s="2" t="s">
        <v>13</v>
      </c>
      <c r="F120" s="2" t="s">
        <v>44</v>
      </c>
      <c r="G120" s="2">
        <v>5</v>
      </c>
      <c r="H120" s="3">
        <v>35</v>
      </c>
      <c r="I120" s="4">
        <v>0</v>
      </c>
      <c r="J120" s="3">
        <f t="shared" si="3"/>
        <v>175</v>
      </c>
    </row>
    <row r="121" spans="1:10" x14ac:dyDescent="0.35">
      <c r="A121" s="5">
        <v>120</v>
      </c>
      <c r="B121" s="5" t="s">
        <v>134</v>
      </c>
      <c r="C121" s="5" t="s">
        <v>11</v>
      </c>
      <c r="D121" s="5" t="s">
        <v>12</v>
      </c>
      <c r="E121" s="5" t="s">
        <v>13</v>
      </c>
      <c r="F121" s="5" t="s">
        <v>14</v>
      </c>
      <c r="G121" s="5">
        <v>4</v>
      </c>
      <c r="H121" s="6">
        <v>30</v>
      </c>
      <c r="I121" s="7">
        <v>0</v>
      </c>
      <c r="J121" s="6">
        <f t="shared" si="3"/>
        <v>120</v>
      </c>
    </row>
    <row r="122" spans="1:10" x14ac:dyDescent="0.35">
      <c r="A122" s="2">
        <v>121</v>
      </c>
      <c r="B122" s="2" t="s">
        <v>81</v>
      </c>
      <c r="C122" s="2" t="s">
        <v>34</v>
      </c>
      <c r="D122" s="2" t="s">
        <v>35</v>
      </c>
      <c r="E122" s="2" t="s">
        <v>26</v>
      </c>
      <c r="F122" s="2" t="s">
        <v>51</v>
      </c>
      <c r="G122" s="2">
        <v>4</v>
      </c>
      <c r="H122" s="3">
        <v>60</v>
      </c>
      <c r="I122" s="4">
        <v>0</v>
      </c>
      <c r="J122" s="3">
        <f t="shared" si="3"/>
        <v>240</v>
      </c>
    </row>
    <row r="123" spans="1:10" x14ac:dyDescent="0.35">
      <c r="A123" s="5">
        <v>122</v>
      </c>
      <c r="B123" s="5" t="s">
        <v>135</v>
      </c>
      <c r="C123" s="5" t="s">
        <v>11</v>
      </c>
      <c r="D123" s="5" t="s">
        <v>35</v>
      </c>
      <c r="E123" s="5" t="s">
        <v>26</v>
      </c>
      <c r="F123" s="5" t="s">
        <v>66</v>
      </c>
      <c r="G123" s="5">
        <v>1</v>
      </c>
      <c r="H123" s="6">
        <v>95</v>
      </c>
      <c r="I123" s="7">
        <v>5</v>
      </c>
      <c r="J123" s="6">
        <f t="shared" si="3"/>
        <v>90.25</v>
      </c>
    </row>
    <row r="124" spans="1:10" x14ac:dyDescent="0.35">
      <c r="A124" s="2">
        <v>123</v>
      </c>
      <c r="B124" s="2" t="s">
        <v>126</v>
      </c>
      <c r="C124" s="2" t="s">
        <v>11</v>
      </c>
      <c r="D124" s="2" t="s">
        <v>17</v>
      </c>
      <c r="E124" s="2" t="s">
        <v>18</v>
      </c>
      <c r="F124" s="2" t="s">
        <v>39</v>
      </c>
      <c r="G124" s="2">
        <v>2</v>
      </c>
      <c r="H124" s="3">
        <v>55</v>
      </c>
      <c r="I124" s="4">
        <v>20</v>
      </c>
      <c r="J124" s="3">
        <f t="shared" si="3"/>
        <v>88</v>
      </c>
    </row>
    <row r="125" spans="1:10" x14ac:dyDescent="0.35">
      <c r="A125" s="5">
        <v>124</v>
      </c>
      <c r="B125" s="5" t="s">
        <v>136</v>
      </c>
      <c r="C125" s="5" t="s">
        <v>31</v>
      </c>
      <c r="D125" s="5" t="s">
        <v>12</v>
      </c>
      <c r="E125" s="5" t="s">
        <v>22</v>
      </c>
      <c r="F125" s="5" t="s">
        <v>72</v>
      </c>
      <c r="G125" s="5">
        <v>5</v>
      </c>
      <c r="H125" s="6">
        <v>80</v>
      </c>
      <c r="I125" s="7">
        <v>20</v>
      </c>
      <c r="J125" s="6">
        <f t="shared" si="3"/>
        <v>320</v>
      </c>
    </row>
    <row r="126" spans="1:10" x14ac:dyDescent="0.35">
      <c r="A126" s="2">
        <v>125</v>
      </c>
      <c r="B126" s="2" t="s">
        <v>137</v>
      </c>
      <c r="C126" s="2" t="s">
        <v>34</v>
      </c>
      <c r="D126" s="2" t="s">
        <v>17</v>
      </c>
      <c r="E126" s="2" t="s">
        <v>22</v>
      </c>
      <c r="F126" s="2" t="s">
        <v>23</v>
      </c>
      <c r="G126" s="2">
        <v>4</v>
      </c>
      <c r="H126" s="3">
        <v>65</v>
      </c>
      <c r="I126" s="4">
        <v>5</v>
      </c>
      <c r="J126" s="3">
        <f t="shared" si="3"/>
        <v>247</v>
      </c>
    </row>
    <row r="127" spans="1:10" x14ac:dyDescent="0.35">
      <c r="A127" s="5">
        <v>126</v>
      </c>
      <c r="B127" s="5" t="s">
        <v>138</v>
      </c>
      <c r="C127" s="5" t="s">
        <v>31</v>
      </c>
      <c r="D127" s="5" t="s">
        <v>17</v>
      </c>
      <c r="E127" s="5" t="s">
        <v>26</v>
      </c>
      <c r="F127" s="5" t="s">
        <v>29</v>
      </c>
      <c r="G127" s="5">
        <v>5</v>
      </c>
      <c r="H127" s="6">
        <v>85</v>
      </c>
      <c r="I127" s="7">
        <v>10</v>
      </c>
      <c r="J127" s="6">
        <f t="shared" si="3"/>
        <v>382.5</v>
      </c>
    </row>
    <row r="128" spans="1:10" x14ac:dyDescent="0.35">
      <c r="A128" s="2">
        <v>127</v>
      </c>
      <c r="B128" s="2" t="s">
        <v>139</v>
      </c>
      <c r="C128" s="2" t="s">
        <v>34</v>
      </c>
      <c r="D128" s="2" t="s">
        <v>12</v>
      </c>
      <c r="E128" s="2" t="s">
        <v>22</v>
      </c>
      <c r="F128" s="2" t="s">
        <v>79</v>
      </c>
      <c r="G128" s="2">
        <v>3</v>
      </c>
      <c r="H128" s="3">
        <v>70</v>
      </c>
      <c r="I128" s="4">
        <v>15</v>
      </c>
      <c r="J128" s="3">
        <f t="shared" si="3"/>
        <v>178.5</v>
      </c>
    </row>
    <row r="129" spans="1:10" x14ac:dyDescent="0.35">
      <c r="A129" s="5">
        <v>128</v>
      </c>
      <c r="B129" s="5" t="s">
        <v>140</v>
      </c>
      <c r="C129" s="5" t="s">
        <v>25</v>
      </c>
      <c r="D129" s="5" t="s">
        <v>21</v>
      </c>
      <c r="E129" s="5" t="s">
        <v>22</v>
      </c>
      <c r="F129" s="5" t="s">
        <v>23</v>
      </c>
      <c r="G129" s="5">
        <v>1</v>
      </c>
      <c r="H129" s="6">
        <v>65</v>
      </c>
      <c r="I129" s="7">
        <v>0</v>
      </c>
      <c r="J129" s="6">
        <f t="shared" si="3"/>
        <v>65</v>
      </c>
    </row>
    <row r="130" spans="1:10" x14ac:dyDescent="0.35">
      <c r="A130" s="2">
        <v>129</v>
      </c>
      <c r="B130" s="2" t="s">
        <v>141</v>
      </c>
      <c r="C130" s="2" t="s">
        <v>56</v>
      </c>
      <c r="D130" s="2" t="s">
        <v>41</v>
      </c>
      <c r="E130" s="2" t="s">
        <v>26</v>
      </c>
      <c r="F130" s="2" t="s">
        <v>29</v>
      </c>
      <c r="G130" s="2">
        <v>1</v>
      </c>
      <c r="H130" s="3">
        <v>85</v>
      </c>
      <c r="I130" s="4">
        <v>0</v>
      </c>
      <c r="J130" s="3">
        <f t="shared" ref="J130:J161" si="4">G130*H130*(1-I130/100)</f>
        <v>85</v>
      </c>
    </row>
    <row r="131" spans="1:10" x14ac:dyDescent="0.35">
      <c r="A131" s="5">
        <v>130</v>
      </c>
      <c r="B131" s="5" t="s">
        <v>142</v>
      </c>
      <c r="C131" s="5" t="s">
        <v>16</v>
      </c>
      <c r="D131" s="5" t="s">
        <v>35</v>
      </c>
      <c r="E131" s="5" t="s">
        <v>26</v>
      </c>
      <c r="F131" s="5" t="s">
        <v>66</v>
      </c>
      <c r="G131" s="5">
        <v>2</v>
      </c>
      <c r="H131" s="6">
        <v>95</v>
      </c>
      <c r="I131" s="7">
        <v>0</v>
      </c>
      <c r="J131" s="6">
        <f t="shared" si="4"/>
        <v>190</v>
      </c>
    </row>
    <row r="132" spans="1:10" x14ac:dyDescent="0.35">
      <c r="A132" s="2">
        <v>131</v>
      </c>
      <c r="B132" s="2" t="s">
        <v>114</v>
      </c>
      <c r="C132" s="2" t="s">
        <v>34</v>
      </c>
      <c r="D132" s="2" t="s">
        <v>21</v>
      </c>
      <c r="E132" s="2" t="s">
        <v>26</v>
      </c>
      <c r="F132" s="2" t="s">
        <v>66</v>
      </c>
      <c r="G132" s="2">
        <v>5</v>
      </c>
      <c r="H132" s="3">
        <v>95</v>
      </c>
      <c r="I132" s="4">
        <v>0</v>
      </c>
      <c r="J132" s="3">
        <f t="shared" si="4"/>
        <v>475</v>
      </c>
    </row>
    <row r="133" spans="1:10" x14ac:dyDescent="0.35">
      <c r="A133" s="5">
        <v>132</v>
      </c>
      <c r="B133" s="5" t="s">
        <v>143</v>
      </c>
      <c r="C133" s="5" t="s">
        <v>25</v>
      </c>
      <c r="D133" s="5" t="s">
        <v>35</v>
      </c>
      <c r="E133" s="5" t="s">
        <v>22</v>
      </c>
      <c r="F133" s="5" t="s">
        <v>72</v>
      </c>
      <c r="G133" s="5">
        <v>1</v>
      </c>
      <c r="H133" s="6">
        <v>80</v>
      </c>
      <c r="I133" s="7">
        <v>0</v>
      </c>
      <c r="J133" s="6">
        <f t="shared" si="4"/>
        <v>80</v>
      </c>
    </row>
    <row r="134" spans="1:10" x14ac:dyDescent="0.35">
      <c r="A134" s="2">
        <v>133</v>
      </c>
      <c r="B134" s="2" t="s">
        <v>100</v>
      </c>
      <c r="C134" s="2" t="s">
        <v>34</v>
      </c>
      <c r="D134" s="2" t="s">
        <v>17</v>
      </c>
      <c r="E134" s="2" t="s">
        <v>13</v>
      </c>
      <c r="F134" s="2" t="s">
        <v>42</v>
      </c>
      <c r="G134" s="2">
        <v>1</v>
      </c>
      <c r="H134" s="3">
        <v>90</v>
      </c>
      <c r="I134" s="4">
        <v>5</v>
      </c>
      <c r="J134" s="3">
        <f t="shared" si="4"/>
        <v>85.5</v>
      </c>
    </row>
    <row r="135" spans="1:10" x14ac:dyDescent="0.35">
      <c r="A135" s="5">
        <v>134</v>
      </c>
      <c r="B135" s="5" t="s">
        <v>111</v>
      </c>
      <c r="C135" s="5" t="s">
        <v>31</v>
      </c>
      <c r="D135" s="5" t="s">
        <v>41</v>
      </c>
      <c r="E135" s="5" t="s">
        <v>13</v>
      </c>
      <c r="F135" s="5" t="s">
        <v>37</v>
      </c>
      <c r="G135" s="5">
        <v>5</v>
      </c>
      <c r="H135" s="6">
        <v>45</v>
      </c>
      <c r="I135" s="7">
        <v>5</v>
      </c>
      <c r="J135" s="6">
        <f t="shared" si="4"/>
        <v>213.75</v>
      </c>
    </row>
    <row r="136" spans="1:10" x14ac:dyDescent="0.35">
      <c r="A136" s="2">
        <v>135</v>
      </c>
      <c r="B136" s="2" t="s">
        <v>144</v>
      </c>
      <c r="C136" s="2" t="s">
        <v>11</v>
      </c>
      <c r="D136" s="2" t="s">
        <v>17</v>
      </c>
      <c r="E136" s="2" t="s">
        <v>18</v>
      </c>
      <c r="F136" s="2" t="s">
        <v>32</v>
      </c>
      <c r="G136" s="2">
        <v>3</v>
      </c>
      <c r="H136" s="3">
        <v>60</v>
      </c>
      <c r="I136" s="4">
        <v>10</v>
      </c>
      <c r="J136" s="3">
        <f t="shared" si="4"/>
        <v>162</v>
      </c>
    </row>
    <row r="137" spans="1:10" x14ac:dyDescent="0.35">
      <c r="A137" s="5">
        <v>136</v>
      </c>
      <c r="B137" s="5" t="s">
        <v>96</v>
      </c>
      <c r="C137" s="5" t="s">
        <v>11</v>
      </c>
      <c r="D137" s="5" t="s">
        <v>12</v>
      </c>
      <c r="E137" s="5" t="s">
        <v>22</v>
      </c>
      <c r="F137" s="5" t="s">
        <v>23</v>
      </c>
      <c r="G137" s="5">
        <v>5</v>
      </c>
      <c r="H137" s="6">
        <v>65</v>
      </c>
      <c r="I137" s="7">
        <v>0</v>
      </c>
      <c r="J137" s="6">
        <f t="shared" si="4"/>
        <v>325</v>
      </c>
    </row>
    <row r="138" spans="1:10" x14ac:dyDescent="0.35">
      <c r="A138" s="2">
        <v>137</v>
      </c>
      <c r="B138" s="2" t="s">
        <v>86</v>
      </c>
      <c r="C138" s="2" t="s">
        <v>31</v>
      </c>
      <c r="D138" s="2" t="s">
        <v>17</v>
      </c>
      <c r="E138" s="2" t="s">
        <v>18</v>
      </c>
      <c r="F138" s="2" t="s">
        <v>39</v>
      </c>
      <c r="G138" s="2">
        <v>4</v>
      </c>
      <c r="H138" s="3">
        <v>55</v>
      </c>
      <c r="I138" s="4">
        <v>10</v>
      </c>
      <c r="J138" s="3">
        <f t="shared" si="4"/>
        <v>198</v>
      </c>
    </row>
    <row r="139" spans="1:10" x14ac:dyDescent="0.35">
      <c r="A139" s="5">
        <v>138</v>
      </c>
      <c r="B139" s="5" t="s">
        <v>69</v>
      </c>
      <c r="C139" s="5" t="s">
        <v>56</v>
      </c>
      <c r="D139" s="5" t="s">
        <v>35</v>
      </c>
      <c r="E139" s="5" t="s">
        <v>22</v>
      </c>
      <c r="F139" s="5" t="s">
        <v>23</v>
      </c>
      <c r="G139" s="5">
        <v>4</v>
      </c>
      <c r="H139" s="6">
        <v>65</v>
      </c>
      <c r="I139" s="7">
        <v>15</v>
      </c>
      <c r="J139" s="6">
        <f t="shared" si="4"/>
        <v>221</v>
      </c>
    </row>
    <row r="140" spans="1:10" x14ac:dyDescent="0.35">
      <c r="A140" s="2">
        <v>139</v>
      </c>
      <c r="B140" s="2" t="s">
        <v>126</v>
      </c>
      <c r="C140" s="2" t="s">
        <v>11</v>
      </c>
      <c r="D140" s="2" t="s">
        <v>41</v>
      </c>
      <c r="E140" s="2" t="s">
        <v>13</v>
      </c>
      <c r="F140" s="2" t="s">
        <v>42</v>
      </c>
      <c r="G140" s="2">
        <v>3</v>
      </c>
      <c r="H140" s="3">
        <v>90</v>
      </c>
      <c r="I140" s="4">
        <v>0</v>
      </c>
      <c r="J140" s="3">
        <f t="shared" si="4"/>
        <v>270</v>
      </c>
    </row>
    <row r="141" spans="1:10" x14ac:dyDescent="0.35">
      <c r="A141" s="5">
        <v>140</v>
      </c>
      <c r="B141" s="5" t="s">
        <v>129</v>
      </c>
      <c r="C141" s="5" t="s">
        <v>11</v>
      </c>
      <c r="D141" s="5" t="s">
        <v>21</v>
      </c>
      <c r="E141" s="5" t="s">
        <v>13</v>
      </c>
      <c r="F141" s="5" t="s">
        <v>42</v>
      </c>
      <c r="G141" s="5">
        <v>4</v>
      </c>
      <c r="H141" s="6">
        <v>90</v>
      </c>
      <c r="I141" s="7">
        <v>0</v>
      </c>
      <c r="J141" s="6">
        <f t="shared" si="4"/>
        <v>360</v>
      </c>
    </row>
    <row r="142" spans="1:10" x14ac:dyDescent="0.35">
      <c r="A142" s="2">
        <v>141</v>
      </c>
      <c r="B142" s="2" t="s">
        <v>107</v>
      </c>
      <c r="C142" s="2" t="s">
        <v>56</v>
      </c>
      <c r="D142" s="2" t="s">
        <v>17</v>
      </c>
      <c r="E142" s="2" t="s">
        <v>18</v>
      </c>
      <c r="F142" s="2" t="s">
        <v>32</v>
      </c>
      <c r="G142" s="2">
        <v>1</v>
      </c>
      <c r="H142" s="3">
        <v>60</v>
      </c>
      <c r="I142" s="4">
        <v>0</v>
      </c>
      <c r="J142" s="3">
        <f t="shared" si="4"/>
        <v>60</v>
      </c>
    </row>
    <row r="143" spans="1:10" x14ac:dyDescent="0.35">
      <c r="A143" s="5">
        <v>142</v>
      </c>
      <c r="B143" s="5" t="s">
        <v>96</v>
      </c>
      <c r="C143" s="5" t="s">
        <v>31</v>
      </c>
      <c r="D143" s="5" t="s">
        <v>12</v>
      </c>
      <c r="E143" s="5" t="s">
        <v>26</v>
      </c>
      <c r="F143" s="5" t="s">
        <v>57</v>
      </c>
      <c r="G143" s="5">
        <v>1</v>
      </c>
      <c r="H143" s="6">
        <v>150</v>
      </c>
      <c r="I143" s="7">
        <v>15</v>
      </c>
      <c r="J143" s="6">
        <f t="shared" si="4"/>
        <v>127.5</v>
      </c>
    </row>
    <row r="144" spans="1:10" x14ac:dyDescent="0.35">
      <c r="A144" s="2">
        <v>143</v>
      </c>
      <c r="B144" s="2" t="s">
        <v>74</v>
      </c>
      <c r="C144" s="2" t="s">
        <v>145</v>
      </c>
      <c r="D144" s="2" t="s">
        <v>41</v>
      </c>
      <c r="E144" s="2" t="s">
        <v>18</v>
      </c>
      <c r="F144" s="2" t="s">
        <v>39</v>
      </c>
      <c r="G144" s="2">
        <v>5</v>
      </c>
      <c r="H144" s="3">
        <v>55</v>
      </c>
      <c r="I144" s="4">
        <v>0</v>
      </c>
      <c r="J144" s="3">
        <f t="shared" si="4"/>
        <v>275</v>
      </c>
    </row>
    <row r="145" spans="1:10" x14ac:dyDescent="0.35">
      <c r="A145" s="5">
        <v>144</v>
      </c>
      <c r="B145" s="5" t="s">
        <v>146</v>
      </c>
      <c r="C145" s="5" t="s">
        <v>56</v>
      </c>
      <c r="D145" s="5" t="s">
        <v>41</v>
      </c>
      <c r="E145" s="5" t="s">
        <v>18</v>
      </c>
      <c r="F145" s="5" t="s">
        <v>39</v>
      </c>
      <c r="G145" s="5">
        <v>3</v>
      </c>
      <c r="H145" s="6">
        <v>55</v>
      </c>
      <c r="I145" s="7">
        <v>10</v>
      </c>
      <c r="J145" s="6">
        <f t="shared" si="4"/>
        <v>148.5</v>
      </c>
    </row>
    <row r="146" spans="1:10" x14ac:dyDescent="0.35">
      <c r="A146" s="2">
        <v>145</v>
      </c>
      <c r="B146" s="2" t="s">
        <v>147</v>
      </c>
      <c r="C146" s="2" t="s">
        <v>31</v>
      </c>
      <c r="D146" s="2" t="s">
        <v>41</v>
      </c>
      <c r="E146" s="2" t="s">
        <v>26</v>
      </c>
      <c r="F146" s="2" t="s">
        <v>66</v>
      </c>
      <c r="G146" s="2">
        <v>1</v>
      </c>
      <c r="H146" s="3">
        <v>95</v>
      </c>
      <c r="I146" s="4">
        <v>15</v>
      </c>
      <c r="J146" s="3">
        <f t="shared" si="4"/>
        <v>80.75</v>
      </c>
    </row>
    <row r="147" spans="1:10" x14ac:dyDescent="0.35">
      <c r="A147" s="5">
        <v>146</v>
      </c>
      <c r="B147" s="5" t="s">
        <v>68</v>
      </c>
      <c r="C147" s="5" t="s">
        <v>25</v>
      </c>
      <c r="D147" s="5" t="s">
        <v>21</v>
      </c>
      <c r="E147" s="5" t="s">
        <v>13</v>
      </c>
      <c r="F147" s="5" t="s">
        <v>37</v>
      </c>
      <c r="G147" s="5">
        <v>1</v>
      </c>
      <c r="H147" s="6">
        <v>45</v>
      </c>
      <c r="I147" s="7">
        <v>10</v>
      </c>
      <c r="J147" s="6">
        <f t="shared" si="4"/>
        <v>40.5</v>
      </c>
    </row>
    <row r="148" spans="1:10" x14ac:dyDescent="0.35">
      <c r="A148" s="2">
        <v>147</v>
      </c>
      <c r="B148" s="2" t="s">
        <v>75</v>
      </c>
      <c r="C148" s="2" t="s">
        <v>11</v>
      </c>
      <c r="D148" s="2" t="s">
        <v>21</v>
      </c>
      <c r="E148" s="2" t="s">
        <v>18</v>
      </c>
      <c r="F148" s="2" t="s">
        <v>32</v>
      </c>
      <c r="G148" s="2">
        <v>1</v>
      </c>
      <c r="H148" s="3">
        <v>60</v>
      </c>
      <c r="I148" s="4">
        <v>15</v>
      </c>
      <c r="J148" s="3">
        <f t="shared" si="4"/>
        <v>51</v>
      </c>
    </row>
    <row r="149" spans="1:10" x14ac:dyDescent="0.35">
      <c r="A149" s="5">
        <v>148</v>
      </c>
      <c r="B149" s="5" t="s">
        <v>63</v>
      </c>
      <c r="C149" s="5" t="s">
        <v>56</v>
      </c>
      <c r="D149" s="5" t="s">
        <v>35</v>
      </c>
      <c r="E149" s="5" t="s">
        <v>13</v>
      </c>
      <c r="F149" s="5" t="s">
        <v>42</v>
      </c>
      <c r="G149" s="5">
        <v>4</v>
      </c>
      <c r="H149" s="6">
        <v>90</v>
      </c>
      <c r="I149" s="7">
        <v>5</v>
      </c>
      <c r="J149" s="6">
        <f t="shared" si="4"/>
        <v>342</v>
      </c>
    </row>
    <row r="150" spans="1:10" x14ac:dyDescent="0.35">
      <c r="A150" s="2">
        <v>149</v>
      </c>
      <c r="B150" s="2" t="s">
        <v>148</v>
      </c>
      <c r="C150" s="2" t="s">
        <v>56</v>
      </c>
      <c r="D150" s="2" t="s">
        <v>17</v>
      </c>
      <c r="E150" s="2" t="s">
        <v>22</v>
      </c>
      <c r="F150" s="2" t="s">
        <v>46</v>
      </c>
      <c r="G150" s="2">
        <v>2</v>
      </c>
      <c r="H150" s="3">
        <v>40</v>
      </c>
      <c r="I150" s="4">
        <v>10</v>
      </c>
      <c r="J150" s="3">
        <f t="shared" si="4"/>
        <v>72</v>
      </c>
    </row>
    <row r="151" spans="1:10" x14ac:dyDescent="0.35">
      <c r="A151" s="5">
        <v>150</v>
      </c>
      <c r="B151" s="5" t="s">
        <v>149</v>
      </c>
      <c r="C151" s="5" t="s">
        <v>16</v>
      </c>
      <c r="D151" s="5" t="s">
        <v>21</v>
      </c>
      <c r="E151" s="5" t="s">
        <v>18</v>
      </c>
      <c r="F151" s="5" t="s">
        <v>61</v>
      </c>
      <c r="G151" s="5">
        <v>4</v>
      </c>
      <c r="H151" s="6">
        <v>75</v>
      </c>
      <c r="I151" s="7">
        <v>0</v>
      </c>
      <c r="J151" s="6">
        <f t="shared" si="4"/>
        <v>300</v>
      </c>
    </row>
    <row r="152" spans="1:10" x14ac:dyDescent="0.35">
      <c r="A152" s="2">
        <v>151</v>
      </c>
      <c r="B152" s="2" t="s">
        <v>91</v>
      </c>
      <c r="C152" s="2" t="s">
        <v>31</v>
      </c>
      <c r="D152" s="2" t="s">
        <v>12</v>
      </c>
      <c r="E152" s="2" t="s">
        <v>13</v>
      </c>
      <c r="F152" s="2" t="s">
        <v>59</v>
      </c>
      <c r="G152" s="2">
        <v>5</v>
      </c>
      <c r="H152" s="3">
        <v>20</v>
      </c>
      <c r="I152" s="4">
        <v>10</v>
      </c>
      <c r="J152" s="3">
        <f t="shared" si="4"/>
        <v>90</v>
      </c>
    </row>
    <row r="153" spans="1:10" x14ac:dyDescent="0.35">
      <c r="A153" s="5">
        <v>152</v>
      </c>
      <c r="B153" s="5" t="s">
        <v>150</v>
      </c>
      <c r="C153" s="5" t="s">
        <v>56</v>
      </c>
      <c r="D153" s="5" t="s">
        <v>21</v>
      </c>
      <c r="E153" s="5" t="s">
        <v>26</v>
      </c>
      <c r="F153" s="5" t="s">
        <v>57</v>
      </c>
      <c r="G153" s="5">
        <v>4</v>
      </c>
      <c r="H153" s="6">
        <v>150</v>
      </c>
      <c r="I153" s="7">
        <v>0</v>
      </c>
      <c r="J153" s="6">
        <f t="shared" si="4"/>
        <v>600</v>
      </c>
    </row>
    <row r="154" spans="1:10" x14ac:dyDescent="0.35">
      <c r="A154" s="2">
        <v>153</v>
      </c>
      <c r="B154" s="2" t="s">
        <v>97</v>
      </c>
      <c r="C154" s="2" t="s">
        <v>34</v>
      </c>
      <c r="D154" s="2" t="s">
        <v>17</v>
      </c>
      <c r="E154" s="2" t="s">
        <v>26</v>
      </c>
      <c r="F154" s="2" t="s">
        <v>51</v>
      </c>
      <c r="G154" s="2">
        <v>3</v>
      </c>
      <c r="H154" s="3">
        <v>60</v>
      </c>
      <c r="I154" s="4">
        <v>20</v>
      </c>
      <c r="J154" s="3">
        <f t="shared" si="4"/>
        <v>144</v>
      </c>
    </row>
    <row r="155" spans="1:10" x14ac:dyDescent="0.35">
      <c r="A155" s="5">
        <v>154</v>
      </c>
      <c r="B155" s="5" t="s">
        <v>84</v>
      </c>
      <c r="C155" s="5" t="s">
        <v>16</v>
      </c>
      <c r="D155" s="5" t="s">
        <v>21</v>
      </c>
      <c r="E155" s="5" t="s">
        <v>26</v>
      </c>
      <c r="F155" s="5" t="s">
        <v>27</v>
      </c>
      <c r="G155" s="5">
        <v>4</v>
      </c>
      <c r="H155" s="6">
        <v>120</v>
      </c>
      <c r="I155" s="7">
        <v>0</v>
      </c>
      <c r="J155" s="6">
        <f t="shared" si="4"/>
        <v>480</v>
      </c>
    </row>
    <row r="156" spans="1:10" x14ac:dyDescent="0.35">
      <c r="A156" s="2">
        <v>155</v>
      </c>
      <c r="B156" s="2" t="s">
        <v>113</v>
      </c>
      <c r="C156" s="2" t="s">
        <v>16</v>
      </c>
      <c r="D156" s="2" t="s">
        <v>41</v>
      </c>
      <c r="E156" s="2" t="s">
        <v>26</v>
      </c>
      <c r="F156" s="2" t="s">
        <v>51</v>
      </c>
      <c r="G156" s="2">
        <v>2</v>
      </c>
      <c r="H156" s="3">
        <v>60</v>
      </c>
      <c r="I156" s="4">
        <v>5</v>
      </c>
      <c r="J156" s="3">
        <f t="shared" si="4"/>
        <v>114</v>
      </c>
    </row>
    <row r="157" spans="1:10" x14ac:dyDescent="0.35">
      <c r="A157" s="5">
        <v>156</v>
      </c>
      <c r="B157" s="5" t="s">
        <v>99</v>
      </c>
      <c r="C157" s="5" t="s">
        <v>25</v>
      </c>
      <c r="D157" s="5" t="s">
        <v>17</v>
      </c>
      <c r="E157" s="5" t="s">
        <v>13</v>
      </c>
      <c r="F157" s="5" t="s">
        <v>44</v>
      </c>
      <c r="G157" s="5">
        <v>4</v>
      </c>
      <c r="H157" s="6">
        <v>35</v>
      </c>
      <c r="I157" s="7">
        <v>0</v>
      </c>
      <c r="J157" s="6">
        <f t="shared" si="4"/>
        <v>140</v>
      </c>
    </row>
    <row r="158" spans="1:10" x14ac:dyDescent="0.35">
      <c r="A158" s="2">
        <v>157</v>
      </c>
      <c r="B158" s="2" t="s">
        <v>151</v>
      </c>
      <c r="C158" s="2" t="s">
        <v>56</v>
      </c>
      <c r="D158" s="2" t="s">
        <v>12</v>
      </c>
      <c r="E158" s="2" t="s">
        <v>22</v>
      </c>
      <c r="F158" s="2" t="s">
        <v>46</v>
      </c>
      <c r="G158" s="2">
        <v>2</v>
      </c>
      <c r="H158" s="3">
        <v>40</v>
      </c>
      <c r="I158" s="4">
        <v>0</v>
      </c>
      <c r="J158" s="3">
        <f t="shared" si="4"/>
        <v>80</v>
      </c>
    </row>
    <row r="159" spans="1:10" x14ac:dyDescent="0.35">
      <c r="A159" s="5">
        <v>158</v>
      </c>
      <c r="B159" s="5" t="s">
        <v>152</v>
      </c>
      <c r="C159" s="5" t="s">
        <v>31</v>
      </c>
      <c r="D159" s="5" t="s">
        <v>35</v>
      </c>
      <c r="E159" s="5" t="s">
        <v>26</v>
      </c>
      <c r="F159" s="5" t="s">
        <v>66</v>
      </c>
      <c r="G159" s="5">
        <v>3</v>
      </c>
      <c r="H159" s="6">
        <v>95</v>
      </c>
      <c r="I159" s="7">
        <v>20</v>
      </c>
      <c r="J159" s="6">
        <f t="shared" si="4"/>
        <v>228</v>
      </c>
    </row>
    <row r="160" spans="1:10" x14ac:dyDescent="0.35">
      <c r="A160" s="2">
        <v>159</v>
      </c>
      <c r="B160" s="2" t="s">
        <v>86</v>
      </c>
      <c r="C160" s="2" t="s">
        <v>34</v>
      </c>
      <c r="D160" s="2" t="s">
        <v>41</v>
      </c>
      <c r="E160" s="2" t="s">
        <v>13</v>
      </c>
      <c r="F160" s="2" t="s">
        <v>42</v>
      </c>
      <c r="G160" s="2">
        <v>5</v>
      </c>
      <c r="H160" s="3">
        <v>90</v>
      </c>
      <c r="I160" s="4">
        <v>0</v>
      </c>
      <c r="J160" s="3">
        <f t="shared" si="4"/>
        <v>450</v>
      </c>
    </row>
    <row r="161" spans="1:10" x14ac:dyDescent="0.35">
      <c r="A161" s="5">
        <v>160</v>
      </c>
      <c r="B161" s="5" t="s">
        <v>153</v>
      </c>
      <c r="C161" s="5" t="s">
        <v>11</v>
      </c>
      <c r="D161" s="5" t="s">
        <v>21</v>
      </c>
      <c r="E161" s="5" t="s">
        <v>13</v>
      </c>
      <c r="F161" s="5" t="s">
        <v>14</v>
      </c>
      <c r="G161" s="5">
        <v>1</v>
      </c>
      <c r="H161" s="6">
        <v>30</v>
      </c>
      <c r="I161" s="7">
        <v>5</v>
      </c>
      <c r="J161" s="6">
        <f t="shared" si="4"/>
        <v>28.5</v>
      </c>
    </row>
    <row r="162" spans="1:10" x14ac:dyDescent="0.35">
      <c r="A162" s="2">
        <v>161</v>
      </c>
      <c r="B162" s="2" t="s">
        <v>154</v>
      </c>
      <c r="C162" s="2" t="s">
        <v>16</v>
      </c>
      <c r="D162" s="2" t="s">
        <v>12</v>
      </c>
      <c r="E162" s="2" t="s">
        <v>26</v>
      </c>
      <c r="F162" s="2" t="s">
        <v>27</v>
      </c>
      <c r="G162" s="2">
        <v>3</v>
      </c>
      <c r="H162" s="3">
        <v>120</v>
      </c>
      <c r="I162" s="4">
        <v>0</v>
      </c>
      <c r="J162" s="3">
        <f t="shared" ref="J162:J193" si="5">G162*H162*(1-I162/100)</f>
        <v>360</v>
      </c>
    </row>
    <row r="163" spans="1:10" x14ac:dyDescent="0.35">
      <c r="A163" s="5">
        <v>162</v>
      </c>
      <c r="B163" s="5" t="s">
        <v>155</v>
      </c>
      <c r="C163" s="5" t="s">
        <v>31</v>
      </c>
      <c r="D163" s="5" t="s">
        <v>12</v>
      </c>
      <c r="E163" s="5" t="s">
        <v>13</v>
      </c>
      <c r="F163" s="5" t="s">
        <v>59</v>
      </c>
      <c r="G163" s="5">
        <v>3</v>
      </c>
      <c r="H163" s="6">
        <v>20</v>
      </c>
      <c r="I163" s="7">
        <v>5</v>
      </c>
      <c r="J163" s="6">
        <f t="shared" si="5"/>
        <v>57</v>
      </c>
    </row>
    <row r="164" spans="1:10" x14ac:dyDescent="0.35">
      <c r="A164" s="2">
        <v>163</v>
      </c>
      <c r="B164" s="2" t="s">
        <v>156</v>
      </c>
      <c r="C164" s="2" t="s">
        <v>25</v>
      </c>
      <c r="D164" s="2" t="s">
        <v>17</v>
      </c>
      <c r="E164" s="2" t="s">
        <v>26</v>
      </c>
      <c r="F164" s="2" t="s">
        <v>57</v>
      </c>
      <c r="G164" s="2">
        <v>2</v>
      </c>
      <c r="H164" s="3">
        <v>150</v>
      </c>
      <c r="I164" s="4">
        <v>0</v>
      </c>
      <c r="J164" s="3">
        <f t="shared" si="5"/>
        <v>300</v>
      </c>
    </row>
    <row r="165" spans="1:10" x14ac:dyDescent="0.35">
      <c r="A165" s="5">
        <v>164</v>
      </c>
      <c r="B165" s="5" t="s">
        <v>157</v>
      </c>
      <c r="C165" s="5" t="s">
        <v>11</v>
      </c>
      <c r="D165" s="5" t="s">
        <v>17</v>
      </c>
      <c r="E165" s="5" t="s">
        <v>26</v>
      </c>
      <c r="F165" s="5" t="s">
        <v>57</v>
      </c>
      <c r="G165" s="5">
        <v>2</v>
      </c>
      <c r="H165" s="6">
        <v>150</v>
      </c>
      <c r="I165" s="7">
        <v>5</v>
      </c>
      <c r="J165" s="6">
        <f t="shared" si="5"/>
        <v>285</v>
      </c>
    </row>
    <row r="166" spans="1:10" x14ac:dyDescent="0.35">
      <c r="A166" s="2">
        <v>165</v>
      </c>
      <c r="B166" s="2" t="s">
        <v>158</v>
      </c>
      <c r="C166" s="2" t="s">
        <v>25</v>
      </c>
      <c r="D166" s="2" t="s">
        <v>21</v>
      </c>
      <c r="E166" s="2" t="s">
        <v>26</v>
      </c>
      <c r="F166" s="2" t="s">
        <v>29</v>
      </c>
      <c r="G166" s="2">
        <v>4</v>
      </c>
      <c r="H166" s="3">
        <v>85</v>
      </c>
      <c r="I166" s="4">
        <v>0</v>
      </c>
      <c r="J166" s="3">
        <f t="shared" si="5"/>
        <v>340</v>
      </c>
    </row>
    <row r="167" spans="1:10" x14ac:dyDescent="0.35">
      <c r="A167" s="5">
        <v>166</v>
      </c>
      <c r="B167" s="5" t="s">
        <v>93</v>
      </c>
      <c r="C167" s="5" t="s">
        <v>11</v>
      </c>
      <c r="D167" s="5" t="s">
        <v>41</v>
      </c>
      <c r="E167" s="5" t="s">
        <v>13</v>
      </c>
      <c r="F167" s="5" t="s">
        <v>37</v>
      </c>
      <c r="G167" s="5">
        <v>2</v>
      </c>
      <c r="H167" s="6">
        <v>45</v>
      </c>
      <c r="I167" s="7">
        <v>0</v>
      </c>
      <c r="J167" s="6">
        <f t="shared" si="5"/>
        <v>90</v>
      </c>
    </row>
    <row r="168" spans="1:10" x14ac:dyDescent="0.35">
      <c r="A168" s="2">
        <v>167</v>
      </c>
      <c r="B168" s="2" t="s">
        <v>138</v>
      </c>
      <c r="C168" s="2" t="s">
        <v>31</v>
      </c>
      <c r="D168" s="2" t="s">
        <v>17</v>
      </c>
      <c r="E168" s="2" t="s">
        <v>13</v>
      </c>
      <c r="F168" s="2" t="s">
        <v>42</v>
      </c>
      <c r="G168" s="2">
        <v>3</v>
      </c>
      <c r="H168" s="3">
        <v>90</v>
      </c>
      <c r="I168" s="4">
        <v>5</v>
      </c>
      <c r="J168" s="3">
        <f t="shared" si="5"/>
        <v>256.5</v>
      </c>
    </row>
    <row r="169" spans="1:10" x14ac:dyDescent="0.35">
      <c r="A169" s="5">
        <v>168</v>
      </c>
      <c r="B169" s="5" t="s">
        <v>159</v>
      </c>
      <c r="C169" s="5" t="s">
        <v>25</v>
      </c>
      <c r="D169" s="5" t="s">
        <v>41</v>
      </c>
      <c r="E169" s="5" t="s">
        <v>26</v>
      </c>
      <c r="F169" s="5" t="s">
        <v>66</v>
      </c>
      <c r="G169" s="5">
        <v>2</v>
      </c>
      <c r="H169" s="6">
        <v>95</v>
      </c>
      <c r="I169" s="7">
        <v>5</v>
      </c>
      <c r="J169" s="6">
        <f t="shared" si="5"/>
        <v>180.5</v>
      </c>
    </row>
    <row r="170" spans="1:10" x14ac:dyDescent="0.35">
      <c r="A170" s="2">
        <v>169</v>
      </c>
      <c r="B170" s="2" t="s">
        <v>160</v>
      </c>
      <c r="C170" s="2" t="s">
        <v>31</v>
      </c>
      <c r="D170" s="2" t="s">
        <v>17</v>
      </c>
      <c r="E170" s="2" t="s">
        <v>13</v>
      </c>
      <c r="F170" s="2" t="s">
        <v>59</v>
      </c>
      <c r="G170" s="2">
        <v>1</v>
      </c>
      <c r="H170" s="3">
        <v>20</v>
      </c>
      <c r="I170" s="4">
        <v>20</v>
      </c>
      <c r="J170" s="3">
        <f t="shared" si="5"/>
        <v>16</v>
      </c>
    </row>
    <row r="171" spans="1:10" x14ac:dyDescent="0.35">
      <c r="A171" s="5">
        <v>170</v>
      </c>
      <c r="B171" s="5" t="s">
        <v>150</v>
      </c>
      <c r="C171" s="5" t="s">
        <v>56</v>
      </c>
      <c r="D171" s="5" t="s">
        <v>35</v>
      </c>
      <c r="E171" s="5" t="s">
        <v>18</v>
      </c>
      <c r="F171" s="5" t="s">
        <v>19</v>
      </c>
      <c r="G171" s="5">
        <v>1</v>
      </c>
      <c r="H171" s="6">
        <v>45</v>
      </c>
      <c r="I171" s="7">
        <v>10</v>
      </c>
      <c r="J171" s="6">
        <f t="shared" si="5"/>
        <v>40.5</v>
      </c>
    </row>
    <row r="172" spans="1:10" x14ac:dyDescent="0.35">
      <c r="A172" s="2">
        <v>171</v>
      </c>
      <c r="B172" s="2" t="s">
        <v>161</v>
      </c>
      <c r="C172" s="2" t="s">
        <v>31</v>
      </c>
      <c r="D172" s="2" t="s">
        <v>21</v>
      </c>
      <c r="E172" s="2" t="s">
        <v>13</v>
      </c>
      <c r="F172" s="2" t="s">
        <v>14</v>
      </c>
      <c r="G172" s="2">
        <v>2</v>
      </c>
      <c r="H172" s="3">
        <v>30</v>
      </c>
      <c r="I172" s="4">
        <v>10</v>
      </c>
      <c r="J172" s="3">
        <f t="shared" si="5"/>
        <v>54</v>
      </c>
    </row>
    <row r="173" spans="1:10" x14ac:dyDescent="0.35">
      <c r="A173" s="5">
        <v>172</v>
      </c>
      <c r="B173" s="5" t="s">
        <v>96</v>
      </c>
      <c r="C173" s="5" t="s">
        <v>16</v>
      </c>
      <c r="D173" s="5" t="s">
        <v>21</v>
      </c>
      <c r="E173" s="5" t="s">
        <v>18</v>
      </c>
      <c r="F173" s="5" t="s">
        <v>77</v>
      </c>
      <c r="G173" s="5">
        <v>3</v>
      </c>
      <c r="H173" s="6">
        <v>25</v>
      </c>
      <c r="I173" s="7">
        <v>20</v>
      </c>
      <c r="J173" s="6">
        <f t="shared" si="5"/>
        <v>60</v>
      </c>
    </row>
    <row r="174" spans="1:10" x14ac:dyDescent="0.35">
      <c r="A174" s="2">
        <v>173</v>
      </c>
      <c r="B174" s="2" t="s">
        <v>144</v>
      </c>
      <c r="C174" s="2" t="s">
        <v>11</v>
      </c>
      <c r="D174" s="2" t="s">
        <v>17</v>
      </c>
      <c r="E174" s="2" t="s">
        <v>13</v>
      </c>
      <c r="F174" s="2" t="s">
        <v>14</v>
      </c>
      <c r="G174" s="2">
        <v>1</v>
      </c>
      <c r="H174" s="3">
        <v>30</v>
      </c>
      <c r="I174" s="4">
        <v>0</v>
      </c>
      <c r="J174" s="3">
        <f t="shared" si="5"/>
        <v>30</v>
      </c>
    </row>
    <row r="175" spans="1:10" x14ac:dyDescent="0.35">
      <c r="A175" s="5">
        <v>174</v>
      </c>
      <c r="B175" s="5" t="s">
        <v>162</v>
      </c>
      <c r="C175" s="5" t="s">
        <v>16</v>
      </c>
      <c r="D175" s="5" t="s">
        <v>41</v>
      </c>
      <c r="E175" s="5" t="s">
        <v>22</v>
      </c>
      <c r="F175" s="5" t="s">
        <v>79</v>
      </c>
      <c r="G175" s="5">
        <v>2</v>
      </c>
      <c r="H175" s="6">
        <v>70</v>
      </c>
      <c r="I175" s="7">
        <v>20</v>
      </c>
      <c r="J175" s="6">
        <f t="shared" si="5"/>
        <v>112</v>
      </c>
    </row>
    <row r="176" spans="1:10" x14ac:dyDescent="0.35">
      <c r="A176" s="2">
        <v>175</v>
      </c>
      <c r="B176" s="2" t="s">
        <v>74</v>
      </c>
      <c r="C176" s="2" t="s">
        <v>31</v>
      </c>
      <c r="D176" s="2" t="s">
        <v>17</v>
      </c>
      <c r="E176" s="2" t="s">
        <v>13</v>
      </c>
      <c r="F176" s="2" t="s">
        <v>14</v>
      </c>
      <c r="G176" s="2">
        <v>3</v>
      </c>
      <c r="H176" s="3">
        <v>30</v>
      </c>
      <c r="I176" s="4">
        <v>20</v>
      </c>
      <c r="J176" s="3">
        <f t="shared" si="5"/>
        <v>72</v>
      </c>
    </row>
    <row r="177" spans="1:10" x14ac:dyDescent="0.35">
      <c r="A177" s="5">
        <v>176</v>
      </c>
      <c r="B177" s="5" t="s">
        <v>127</v>
      </c>
      <c r="C177" s="5" t="s">
        <v>31</v>
      </c>
      <c r="D177" s="5" t="s">
        <v>35</v>
      </c>
      <c r="E177" s="5" t="s">
        <v>18</v>
      </c>
      <c r="F177" s="5" t="s">
        <v>32</v>
      </c>
      <c r="G177" s="5">
        <v>1</v>
      </c>
      <c r="H177" s="6">
        <v>60</v>
      </c>
      <c r="I177" s="7">
        <v>0</v>
      </c>
      <c r="J177" s="6">
        <f t="shared" si="5"/>
        <v>60</v>
      </c>
    </row>
    <row r="178" spans="1:10" x14ac:dyDescent="0.35">
      <c r="A178" s="2">
        <v>177</v>
      </c>
      <c r="B178" s="2" t="s">
        <v>163</v>
      </c>
      <c r="C178" s="2" t="s">
        <v>16</v>
      </c>
      <c r="D178" s="2" t="s">
        <v>41</v>
      </c>
      <c r="E178" s="2" t="s">
        <v>13</v>
      </c>
      <c r="F178" s="2" t="s">
        <v>44</v>
      </c>
      <c r="G178" s="2">
        <v>4</v>
      </c>
      <c r="H178" s="3">
        <v>35</v>
      </c>
      <c r="I178" s="4">
        <v>0</v>
      </c>
      <c r="J178" s="3">
        <f t="shared" si="5"/>
        <v>140</v>
      </c>
    </row>
    <row r="179" spans="1:10" x14ac:dyDescent="0.35">
      <c r="A179" s="5">
        <v>178</v>
      </c>
      <c r="B179" s="5" t="s">
        <v>83</v>
      </c>
      <c r="C179" s="5" t="s">
        <v>34</v>
      </c>
      <c r="D179" s="5" t="s">
        <v>12</v>
      </c>
      <c r="E179" s="5" t="s">
        <v>26</v>
      </c>
      <c r="F179" s="5" t="s">
        <v>29</v>
      </c>
      <c r="G179" s="5">
        <v>3</v>
      </c>
      <c r="H179" s="6">
        <v>85</v>
      </c>
      <c r="I179" s="7">
        <v>10</v>
      </c>
      <c r="J179" s="6">
        <f t="shared" si="5"/>
        <v>229.5</v>
      </c>
    </row>
    <row r="180" spans="1:10" x14ac:dyDescent="0.35">
      <c r="A180" s="2">
        <v>179</v>
      </c>
      <c r="B180" s="2" t="s">
        <v>164</v>
      </c>
      <c r="C180" s="2" t="s">
        <v>16</v>
      </c>
      <c r="D180" s="2" t="s">
        <v>35</v>
      </c>
      <c r="E180" s="2" t="s">
        <v>18</v>
      </c>
      <c r="F180" s="2" t="s">
        <v>39</v>
      </c>
      <c r="G180" s="2">
        <v>4</v>
      </c>
      <c r="H180" s="3">
        <v>55</v>
      </c>
      <c r="I180" s="4">
        <v>0</v>
      </c>
      <c r="J180" s="3">
        <f t="shared" si="5"/>
        <v>220</v>
      </c>
    </row>
    <row r="181" spans="1:10" x14ac:dyDescent="0.35">
      <c r="A181" s="5">
        <v>180</v>
      </c>
      <c r="B181" s="5" t="s">
        <v>153</v>
      </c>
      <c r="C181" s="5" t="s">
        <v>34</v>
      </c>
      <c r="D181" s="5" t="s">
        <v>35</v>
      </c>
      <c r="E181" s="5" t="s">
        <v>22</v>
      </c>
      <c r="F181" s="5" t="s">
        <v>72</v>
      </c>
      <c r="G181" s="5">
        <v>4</v>
      </c>
      <c r="H181" s="6">
        <v>80</v>
      </c>
      <c r="I181" s="7">
        <v>15</v>
      </c>
      <c r="J181" s="6">
        <f t="shared" si="5"/>
        <v>272</v>
      </c>
    </row>
    <row r="182" spans="1:10" x14ac:dyDescent="0.35">
      <c r="A182" s="2">
        <v>181</v>
      </c>
      <c r="B182" s="2" t="s">
        <v>159</v>
      </c>
      <c r="C182" s="2" t="s">
        <v>16</v>
      </c>
      <c r="D182" s="2" t="s">
        <v>41</v>
      </c>
      <c r="E182" s="2" t="s">
        <v>18</v>
      </c>
      <c r="F182" s="2" t="s">
        <v>39</v>
      </c>
      <c r="G182" s="2">
        <v>1</v>
      </c>
      <c r="H182" s="3">
        <v>55</v>
      </c>
      <c r="I182" s="4">
        <v>0</v>
      </c>
      <c r="J182" s="3">
        <f t="shared" si="5"/>
        <v>55</v>
      </c>
    </row>
    <row r="183" spans="1:10" x14ac:dyDescent="0.35">
      <c r="A183" s="5">
        <v>182</v>
      </c>
      <c r="B183" s="5" t="s">
        <v>159</v>
      </c>
      <c r="C183" s="5" t="s">
        <v>56</v>
      </c>
      <c r="D183" s="5" t="s">
        <v>12</v>
      </c>
      <c r="E183" s="5" t="s">
        <v>18</v>
      </c>
      <c r="F183" s="5" t="s">
        <v>39</v>
      </c>
      <c r="G183" s="5">
        <v>5</v>
      </c>
      <c r="H183" s="6">
        <v>55</v>
      </c>
      <c r="I183" s="7">
        <v>0</v>
      </c>
      <c r="J183" s="6">
        <f t="shared" si="5"/>
        <v>275</v>
      </c>
    </row>
    <row r="184" spans="1:10" x14ac:dyDescent="0.35">
      <c r="A184" s="2">
        <v>183</v>
      </c>
      <c r="B184" s="2" t="s">
        <v>165</v>
      </c>
      <c r="C184" s="2" t="s">
        <v>56</v>
      </c>
      <c r="D184" s="2" t="s">
        <v>35</v>
      </c>
      <c r="E184" s="2" t="s">
        <v>26</v>
      </c>
      <c r="F184" s="2" t="s">
        <v>57</v>
      </c>
      <c r="G184" s="2">
        <v>2</v>
      </c>
      <c r="H184" s="3">
        <v>150</v>
      </c>
      <c r="I184" s="4">
        <v>5</v>
      </c>
      <c r="J184" s="3">
        <f t="shared" si="5"/>
        <v>285</v>
      </c>
    </row>
    <row r="185" spans="1:10" x14ac:dyDescent="0.35">
      <c r="A185" s="5">
        <v>184</v>
      </c>
      <c r="B185" s="5" t="s">
        <v>166</v>
      </c>
      <c r="C185" s="5" t="s">
        <v>11</v>
      </c>
      <c r="D185" s="5" t="s">
        <v>41</v>
      </c>
      <c r="E185" s="5" t="s">
        <v>26</v>
      </c>
      <c r="F185" s="5" t="s">
        <v>29</v>
      </c>
      <c r="G185" s="5">
        <v>1</v>
      </c>
      <c r="H185" s="6">
        <v>85</v>
      </c>
      <c r="I185" s="7">
        <v>15</v>
      </c>
      <c r="J185" s="6">
        <f t="shared" si="5"/>
        <v>72.25</v>
      </c>
    </row>
    <row r="186" spans="1:10" x14ac:dyDescent="0.35">
      <c r="A186" s="2">
        <v>185</v>
      </c>
      <c r="B186" s="2" t="s">
        <v>43</v>
      </c>
      <c r="C186" s="2" t="s">
        <v>25</v>
      </c>
      <c r="D186" s="2" t="s">
        <v>41</v>
      </c>
      <c r="E186" s="2" t="s">
        <v>26</v>
      </c>
      <c r="F186" s="2" t="s">
        <v>27</v>
      </c>
      <c r="G186" s="2">
        <v>3</v>
      </c>
      <c r="H186" s="3">
        <v>120</v>
      </c>
      <c r="I186" s="4">
        <v>0</v>
      </c>
      <c r="J186" s="3">
        <f t="shared" si="5"/>
        <v>360</v>
      </c>
    </row>
    <row r="187" spans="1:10" x14ac:dyDescent="0.35">
      <c r="A187" s="5">
        <v>186</v>
      </c>
      <c r="B187" s="5" t="s">
        <v>167</v>
      </c>
      <c r="C187" s="5" t="s">
        <v>31</v>
      </c>
      <c r="D187" s="5" t="s">
        <v>17</v>
      </c>
      <c r="E187" s="5" t="s">
        <v>13</v>
      </c>
      <c r="F187" s="5" t="s">
        <v>44</v>
      </c>
      <c r="G187" s="5">
        <v>4</v>
      </c>
      <c r="H187" s="6">
        <v>35</v>
      </c>
      <c r="I187" s="7">
        <v>0</v>
      </c>
      <c r="J187" s="6">
        <f t="shared" si="5"/>
        <v>140</v>
      </c>
    </row>
    <row r="188" spans="1:10" x14ac:dyDescent="0.35">
      <c r="A188" s="2">
        <v>187</v>
      </c>
      <c r="B188" s="2" t="s">
        <v>84</v>
      </c>
      <c r="C188" s="2" t="s">
        <v>11</v>
      </c>
      <c r="D188" s="2" t="s">
        <v>41</v>
      </c>
      <c r="E188" s="2" t="s">
        <v>18</v>
      </c>
      <c r="F188" s="2" t="s">
        <v>39</v>
      </c>
      <c r="G188" s="2">
        <v>5</v>
      </c>
      <c r="H188" s="3">
        <v>55</v>
      </c>
      <c r="I188" s="4">
        <v>0</v>
      </c>
      <c r="J188" s="3">
        <f t="shared" si="5"/>
        <v>275</v>
      </c>
    </row>
    <row r="189" spans="1:10" x14ac:dyDescent="0.35">
      <c r="A189" s="5">
        <v>188</v>
      </c>
      <c r="B189" s="5" t="s">
        <v>54</v>
      </c>
      <c r="C189" s="5" t="s">
        <v>31</v>
      </c>
      <c r="D189" s="5" t="s">
        <v>21</v>
      </c>
      <c r="E189" s="5" t="s">
        <v>22</v>
      </c>
      <c r="F189" s="5" t="s">
        <v>23</v>
      </c>
      <c r="G189" s="5">
        <v>2</v>
      </c>
      <c r="H189" s="6">
        <v>65</v>
      </c>
      <c r="I189" s="7">
        <v>0</v>
      </c>
      <c r="J189" s="6">
        <f t="shared" si="5"/>
        <v>130</v>
      </c>
    </row>
    <row r="190" spans="1:10" x14ac:dyDescent="0.35">
      <c r="A190" s="2">
        <v>189</v>
      </c>
      <c r="B190" s="2" t="s">
        <v>133</v>
      </c>
      <c r="C190" s="2" t="s">
        <v>25</v>
      </c>
      <c r="D190" s="2" t="s">
        <v>17</v>
      </c>
      <c r="E190" s="2" t="s">
        <v>22</v>
      </c>
      <c r="F190" s="2" t="s">
        <v>79</v>
      </c>
      <c r="G190" s="2">
        <v>3</v>
      </c>
      <c r="H190" s="3">
        <v>70</v>
      </c>
      <c r="I190" s="4">
        <v>20</v>
      </c>
      <c r="J190" s="3">
        <f t="shared" si="5"/>
        <v>168</v>
      </c>
    </row>
    <row r="191" spans="1:10" x14ac:dyDescent="0.35">
      <c r="A191" s="5">
        <v>190</v>
      </c>
      <c r="B191" s="5" t="s">
        <v>156</v>
      </c>
      <c r="C191" s="5" t="s">
        <v>34</v>
      </c>
      <c r="D191" s="5" t="s">
        <v>12</v>
      </c>
      <c r="E191" s="5" t="s">
        <v>13</v>
      </c>
      <c r="F191" s="5" t="s">
        <v>14</v>
      </c>
      <c r="G191" s="5">
        <v>2</v>
      </c>
      <c r="H191" s="6">
        <v>30</v>
      </c>
      <c r="I191" s="7">
        <v>10</v>
      </c>
      <c r="J191" s="6">
        <f t="shared" si="5"/>
        <v>54</v>
      </c>
    </row>
    <row r="192" spans="1:10" x14ac:dyDescent="0.35">
      <c r="A192" s="2">
        <v>191</v>
      </c>
      <c r="B192" s="2" t="s">
        <v>96</v>
      </c>
      <c r="C192" s="2" t="s">
        <v>25</v>
      </c>
      <c r="D192" s="2" t="s">
        <v>12</v>
      </c>
      <c r="E192" s="2" t="s">
        <v>18</v>
      </c>
      <c r="F192" s="2" t="s">
        <v>39</v>
      </c>
      <c r="G192" s="2">
        <v>1</v>
      </c>
      <c r="H192" s="3">
        <v>55</v>
      </c>
      <c r="I192" s="4">
        <v>0</v>
      </c>
      <c r="J192" s="3">
        <f t="shared" si="5"/>
        <v>55</v>
      </c>
    </row>
    <row r="193" spans="1:10" x14ac:dyDescent="0.35">
      <c r="A193" s="5">
        <v>192</v>
      </c>
      <c r="B193" s="5" t="s">
        <v>168</v>
      </c>
      <c r="C193" s="5" t="s">
        <v>34</v>
      </c>
      <c r="D193" s="5" t="s">
        <v>35</v>
      </c>
      <c r="E193" s="5" t="s">
        <v>18</v>
      </c>
      <c r="F193" s="5" t="s">
        <v>39</v>
      </c>
      <c r="G193" s="5">
        <v>3</v>
      </c>
      <c r="H193" s="6">
        <v>55</v>
      </c>
      <c r="I193" s="7">
        <v>0</v>
      </c>
      <c r="J193" s="6">
        <f t="shared" si="5"/>
        <v>165</v>
      </c>
    </row>
    <row r="194" spans="1:10" x14ac:dyDescent="0.35">
      <c r="A194" s="2">
        <v>193</v>
      </c>
      <c r="B194" s="2" t="s">
        <v>67</v>
      </c>
      <c r="C194" s="2" t="s">
        <v>16</v>
      </c>
      <c r="D194" s="2" t="s">
        <v>41</v>
      </c>
      <c r="E194" s="2" t="s">
        <v>18</v>
      </c>
      <c r="F194" s="2" t="s">
        <v>77</v>
      </c>
      <c r="G194" s="2">
        <v>4</v>
      </c>
      <c r="H194" s="3">
        <v>25</v>
      </c>
      <c r="I194" s="4">
        <v>5</v>
      </c>
      <c r="J194" s="3">
        <f t="shared" ref="J194:J201" si="6">G194*H194*(1-I194/100)</f>
        <v>95</v>
      </c>
    </row>
    <row r="195" spans="1:10" x14ac:dyDescent="0.35">
      <c r="A195" s="5">
        <v>194</v>
      </c>
      <c r="B195" s="5" t="s">
        <v>169</v>
      </c>
      <c r="C195" s="5" t="s">
        <v>34</v>
      </c>
      <c r="D195" s="5" t="s">
        <v>17</v>
      </c>
      <c r="E195" s="5" t="s">
        <v>18</v>
      </c>
      <c r="F195" s="5" t="s">
        <v>32</v>
      </c>
      <c r="G195" s="5">
        <v>5</v>
      </c>
      <c r="H195" s="6">
        <v>60</v>
      </c>
      <c r="I195" s="7">
        <v>0</v>
      </c>
      <c r="J195" s="6">
        <f t="shared" si="6"/>
        <v>300</v>
      </c>
    </row>
    <row r="196" spans="1:10" x14ac:dyDescent="0.35">
      <c r="A196" s="2">
        <v>195</v>
      </c>
      <c r="B196" s="2" t="s">
        <v>170</v>
      </c>
      <c r="C196" s="2" t="s">
        <v>11</v>
      </c>
      <c r="D196" s="2" t="s">
        <v>17</v>
      </c>
      <c r="E196" s="2" t="s">
        <v>13</v>
      </c>
      <c r="F196" s="2" t="s">
        <v>42</v>
      </c>
      <c r="G196" s="2">
        <v>1</v>
      </c>
      <c r="H196" s="3">
        <v>90</v>
      </c>
      <c r="I196" s="4">
        <v>0</v>
      </c>
      <c r="J196" s="3">
        <f t="shared" si="6"/>
        <v>90</v>
      </c>
    </row>
    <row r="197" spans="1:10" x14ac:dyDescent="0.35">
      <c r="A197" s="5">
        <v>196</v>
      </c>
      <c r="B197" s="5" t="s">
        <v>171</v>
      </c>
      <c r="C197" s="5" t="s">
        <v>56</v>
      </c>
      <c r="D197" s="5" t="s">
        <v>41</v>
      </c>
      <c r="E197" s="5" t="s">
        <v>18</v>
      </c>
      <c r="F197" s="5" t="s">
        <v>32</v>
      </c>
      <c r="G197" s="5">
        <v>4</v>
      </c>
      <c r="H197" s="6">
        <v>60</v>
      </c>
      <c r="I197" s="7">
        <v>0</v>
      </c>
      <c r="J197" s="6">
        <f t="shared" si="6"/>
        <v>240</v>
      </c>
    </row>
    <row r="198" spans="1:10" x14ac:dyDescent="0.35">
      <c r="A198" s="2">
        <v>197</v>
      </c>
      <c r="B198" s="2" t="s">
        <v>140</v>
      </c>
      <c r="C198" s="2" t="s">
        <v>31</v>
      </c>
      <c r="D198" s="2" t="s">
        <v>17</v>
      </c>
      <c r="E198" s="2" t="s">
        <v>22</v>
      </c>
      <c r="F198" s="2" t="s">
        <v>72</v>
      </c>
      <c r="G198" s="2">
        <v>2</v>
      </c>
      <c r="H198" s="3">
        <v>80</v>
      </c>
      <c r="I198" s="4">
        <v>0</v>
      </c>
      <c r="J198" s="3">
        <f t="shared" si="6"/>
        <v>160</v>
      </c>
    </row>
    <row r="199" spans="1:10" x14ac:dyDescent="0.35">
      <c r="A199" s="5">
        <v>198</v>
      </c>
      <c r="B199" s="5" t="s">
        <v>146</v>
      </c>
      <c r="C199" s="5" t="s">
        <v>16</v>
      </c>
      <c r="D199" s="5" t="s">
        <v>17</v>
      </c>
      <c r="E199" s="5" t="s">
        <v>13</v>
      </c>
      <c r="F199" s="5" t="s">
        <v>42</v>
      </c>
      <c r="G199" s="5">
        <v>5</v>
      </c>
      <c r="H199" s="6">
        <v>90</v>
      </c>
      <c r="I199" s="7">
        <v>10</v>
      </c>
      <c r="J199" s="6">
        <f t="shared" si="6"/>
        <v>405</v>
      </c>
    </row>
    <row r="200" spans="1:10" x14ac:dyDescent="0.35">
      <c r="A200" s="2">
        <v>199</v>
      </c>
      <c r="B200" s="2" t="s">
        <v>172</v>
      </c>
      <c r="C200" s="2" t="s">
        <v>56</v>
      </c>
      <c r="D200" s="2" t="s">
        <v>17</v>
      </c>
      <c r="E200" s="2" t="s">
        <v>26</v>
      </c>
      <c r="F200" s="2" t="s">
        <v>66</v>
      </c>
      <c r="G200" s="2">
        <v>1</v>
      </c>
      <c r="H200" s="3">
        <v>95</v>
      </c>
      <c r="I200" s="4">
        <v>20</v>
      </c>
      <c r="J200" s="3">
        <f t="shared" si="6"/>
        <v>76</v>
      </c>
    </row>
    <row r="201" spans="1:10" x14ac:dyDescent="0.35">
      <c r="A201" s="5">
        <v>200</v>
      </c>
      <c r="B201" s="5" t="s">
        <v>166</v>
      </c>
      <c r="C201" s="5" t="s">
        <v>16</v>
      </c>
      <c r="D201" s="5" t="s">
        <v>17</v>
      </c>
      <c r="E201" s="5" t="s">
        <v>22</v>
      </c>
      <c r="F201" s="5" t="s">
        <v>46</v>
      </c>
      <c r="G201" s="5">
        <v>4</v>
      </c>
      <c r="H201" s="6">
        <v>40</v>
      </c>
      <c r="I201" s="7">
        <v>0</v>
      </c>
      <c r="J201" s="6">
        <f t="shared" si="6"/>
        <v>160</v>
      </c>
    </row>
    <row r="202" spans="1:10" x14ac:dyDescent="0.35">
      <c r="A202" s="2">
        <v>210</v>
      </c>
      <c r="B202" s="2" t="s">
        <v>40</v>
      </c>
      <c r="C202" s="2" t="s">
        <v>11</v>
      </c>
      <c r="D202" s="2" t="s">
        <v>41</v>
      </c>
      <c r="E202" s="2" t="s">
        <v>13</v>
      </c>
      <c r="F202" s="2" t="s">
        <v>42</v>
      </c>
      <c r="G202" s="2">
        <v>3</v>
      </c>
      <c r="H202" s="3">
        <v>90</v>
      </c>
      <c r="I202" s="4">
        <v>0</v>
      </c>
      <c r="J202" s="3">
        <f>G11*H11*(1-I11/100)</f>
        <v>270</v>
      </c>
    </row>
    <row r="203" spans="1:10" x14ac:dyDescent="0.35">
      <c r="A203" s="5">
        <v>225</v>
      </c>
      <c r="B203" s="5" t="s">
        <v>65</v>
      </c>
      <c r="C203" s="5" t="s">
        <v>11</v>
      </c>
      <c r="D203" s="5" t="s">
        <v>12</v>
      </c>
      <c r="E203" s="5" t="s">
        <v>26</v>
      </c>
      <c r="F203" s="5" t="s">
        <v>66</v>
      </c>
      <c r="G203" s="5">
        <v>5</v>
      </c>
      <c r="H203" s="6">
        <v>95</v>
      </c>
      <c r="I203" s="7">
        <v>20</v>
      </c>
      <c r="J203" s="6">
        <f>G26*H26*(1-I26/100)</f>
        <v>380</v>
      </c>
    </row>
    <row r="204" spans="1:10" x14ac:dyDescent="0.35">
      <c r="A204" s="2">
        <v>240</v>
      </c>
      <c r="B204" s="2" t="s">
        <v>83</v>
      </c>
      <c r="C204" s="2" t="s">
        <v>56</v>
      </c>
      <c r="D204" s="2" t="s">
        <v>35</v>
      </c>
      <c r="E204" s="2" t="s">
        <v>26</v>
      </c>
      <c r="F204" s="2" t="s">
        <v>57</v>
      </c>
      <c r="G204" s="2">
        <v>4</v>
      </c>
      <c r="H204" s="3">
        <v>150</v>
      </c>
      <c r="I204" s="4">
        <v>0</v>
      </c>
      <c r="J204" s="3">
        <f>G41*H41*(1-I41/100)</f>
        <v>600</v>
      </c>
    </row>
    <row r="205" spans="1:10" x14ac:dyDescent="0.35">
      <c r="A205" s="5">
        <v>275</v>
      </c>
      <c r="B205" s="5" t="s">
        <v>107</v>
      </c>
      <c r="C205" s="5" t="s">
        <v>16</v>
      </c>
      <c r="D205" s="5" t="s">
        <v>17</v>
      </c>
      <c r="E205" s="5" t="s">
        <v>13</v>
      </c>
      <c r="F205" s="5" t="s">
        <v>44</v>
      </c>
      <c r="G205" s="5">
        <v>2</v>
      </c>
      <c r="H205" s="6">
        <v>35</v>
      </c>
      <c r="I205" s="7">
        <v>15</v>
      </c>
      <c r="J205" s="6">
        <f>G76*H76*(1-I76/100)</f>
        <v>59.5</v>
      </c>
    </row>
    <row r="206" spans="1:10" x14ac:dyDescent="0.35">
      <c r="A206" s="2">
        <v>330</v>
      </c>
      <c r="B206" s="2" t="s">
        <v>142</v>
      </c>
      <c r="C206" s="2" t="s">
        <v>16</v>
      </c>
      <c r="D206" s="2" t="s">
        <v>35</v>
      </c>
      <c r="E206" s="2" t="s">
        <v>26</v>
      </c>
      <c r="F206" s="2" t="s">
        <v>66</v>
      </c>
      <c r="G206" s="2">
        <v>2</v>
      </c>
      <c r="H206" s="3">
        <v>95</v>
      </c>
      <c r="I206" s="4">
        <v>0</v>
      </c>
      <c r="J206" s="3">
        <f>G131*H131*(1-I131/100)</f>
        <v>190</v>
      </c>
    </row>
  </sheetData>
  <conditionalFormatting sqref="A1:A206">
    <cfRule type="duplicateValues" dxfId="3" priority="2"/>
  </conditionalFormatting>
  <conditionalFormatting sqref="A1:A1048576"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9"/>
  <sheetViews>
    <sheetView topLeftCell="B1" zoomScaleNormal="100" workbookViewId="0">
      <pane ySplit="1" topLeftCell="A2" activePane="bottomLeft" state="frozen"/>
      <selection pane="bottomLeft" activeCell="L11" sqref="L11"/>
    </sheetView>
  </sheetViews>
  <sheetFormatPr baseColWidth="10" defaultColWidth="8.6328125" defaultRowHeight="14.5" x14ac:dyDescent="0.35"/>
  <cols>
    <col min="1" max="1" width="10" customWidth="1"/>
    <col min="2" max="2" width="14" customWidth="1"/>
    <col min="3" max="3" width="18" customWidth="1"/>
    <col min="4" max="4" width="14" customWidth="1"/>
    <col min="5" max="5" width="16" customWidth="1"/>
    <col min="6" max="6" width="20" customWidth="1"/>
    <col min="7" max="7" width="12" customWidth="1"/>
    <col min="8" max="8" width="15" customWidth="1"/>
    <col min="9" max="9" width="12" customWidth="1"/>
    <col min="10" max="10" width="14" customWidth="1"/>
    <col min="11" max="11" width="16.81640625" customWidth="1"/>
    <col min="12" max="12" width="10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177</v>
      </c>
      <c r="L1" s="1" t="s">
        <v>178</v>
      </c>
    </row>
    <row r="2" spans="1:12" x14ac:dyDescent="0.35">
      <c r="A2" s="2">
        <v>1</v>
      </c>
      <c r="B2" s="14">
        <v>45455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2</v>
      </c>
      <c r="H2" s="3">
        <v>30</v>
      </c>
      <c r="I2" s="4">
        <v>0</v>
      </c>
      <c r="J2" s="3">
        <f t="shared" ref="J2:J33" si="0">G2*H2*(1-I2/100)</f>
        <v>60</v>
      </c>
      <c r="K2" t="s">
        <v>176</v>
      </c>
      <c r="L2" s="10">
        <f>COUNT(A2:A204)</f>
        <v>198</v>
      </c>
    </row>
    <row r="3" spans="1:12" x14ac:dyDescent="0.35">
      <c r="A3" s="5">
        <v>2</v>
      </c>
      <c r="B3" s="15">
        <v>45318</v>
      </c>
      <c r="C3" s="5" t="s">
        <v>16</v>
      </c>
      <c r="D3" s="5" t="s">
        <v>17</v>
      </c>
      <c r="E3" s="5" t="s">
        <v>18</v>
      </c>
      <c r="F3" s="5" t="s">
        <v>19</v>
      </c>
      <c r="G3" s="5">
        <v>4</v>
      </c>
      <c r="H3" s="6">
        <v>45</v>
      </c>
      <c r="I3" s="7">
        <v>0</v>
      </c>
      <c r="J3" s="6">
        <f t="shared" si="0"/>
        <v>180</v>
      </c>
      <c r="K3" t="s">
        <v>173</v>
      </c>
      <c r="L3" s="8">
        <f>SUM(J2:J204)</f>
        <v>37991</v>
      </c>
    </row>
    <row r="4" spans="1:12" x14ac:dyDescent="0.35">
      <c r="A4" s="2">
        <v>3</v>
      </c>
      <c r="B4" s="14">
        <v>45299</v>
      </c>
      <c r="C4" s="2" t="s">
        <v>11</v>
      </c>
      <c r="D4" s="2" t="s">
        <v>21</v>
      </c>
      <c r="E4" s="2" t="s">
        <v>22</v>
      </c>
      <c r="F4" s="2" t="s">
        <v>23</v>
      </c>
      <c r="G4" s="2">
        <v>5</v>
      </c>
      <c r="H4" s="3">
        <v>65</v>
      </c>
      <c r="I4" s="4">
        <v>0</v>
      </c>
      <c r="J4" s="3">
        <f t="shared" si="0"/>
        <v>325</v>
      </c>
      <c r="K4" t="s">
        <v>174</v>
      </c>
      <c r="L4" s="8">
        <f>AVERAGE(H2:H204)</f>
        <v>67.449494949494948</v>
      </c>
    </row>
    <row r="5" spans="1:12" x14ac:dyDescent="0.35">
      <c r="A5" s="5">
        <v>4</v>
      </c>
      <c r="B5" s="15">
        <v>45435</v>
      </c>
      <c r="C5" s="5" t="s">
        <v>25</v>
      </c>
      <c r="D5" s="5" t="s">
        <v>17</v>
      </c>
      <c r="E5" s="5" t="s">
        <v>26</v>
      </c>
      <c r="F5" s="5" t="s">
        <v>27</v>
      </c>
      <c r="G5" s="5">
        <v>4</v>
      </c>
      <c r="H5" s="6">
        <v>120</v>
      </c>
      <c r="I5" s="7">
        <v>10</v>
      </c>
      <c r="J5" s="6">
        <f t="shared" si="0"/>
        <v>432</v>
      </c>
      <c r="K5" t="s">
        <v>175</v>
      </c>
      <c r="L5" s="9">
        <f>MAX(J2:J204)</f>
        <v>750</v>
      </c>
    </row>
    <row r="6" spans="1:12" x14ac:dyDescent="0.35">
      <c r="A6" s="2">
        <v>5</v>
      </c>
      <c r="B6" s="14">
        <v>45363</v>
      </c>
      <c r="C6" s="2" t="s">
        <v>11</v>
      </c>
      <c r="D6" s="2" t="s">
        <v>21</v>
      </c>
      <c r="E6" s="2" t="s">
        <v>26</v>
      </c>
      <c r="F6" s="2" t="s">
        <v>29</v>
      </c>
      <c r="G6" s="2">
        <v>3</v>
      </c>
      <c r="H6" s="3">
        <v>85</v>
      </c>
      <c r="I6" s="4">
        <v>0</v>
      </c>
      <c r="J6" s="3">
        <f t="shared" si="0"/>
        <v>255</v>
      </c>
    </row>
    <row r="7" spans="1:12" x14ac:dyDescent="0.35">
      <c r="A7" s="5">
        <v>6</v>
      </c>
      <c r="B7" s="15">
        <v>45347</v>
      </c>
      <c r="C7" s="5" t="s">
        <v>31</v>
      </c>
      <c r="D7" s="5" t="s">
        <v>12</v>
      </c>
      <c r="E7" s="5" t="s">
        <v>18</v>
      </c>
      <c r="F7" s="5" t="s">
        <v>32</v>
      </c>
      <c r="G7" s="5">
        <v>1</v>
      </c>
      <c r="H7" s="6">
        <v>60</v>
      </c>
      <c r="I7" s="7">
        <v>0</v>
      </c>
      <c r="J7" s="6">
        <f t="shared" si="0"/>
        <v>60</v>
      </c>
    </row>
    <row r="8" spans="1:12" x14ac:dyDescent="0.35">
      <c r="A8" s="2">
        <v>7</v>
      </c>
      <c r="B8" s="14">
        <v>45380</v>
      </c>
      <c r="C8" s="2" t="s">
        <v>34</v>
      </c>
      <c r="D8" s="2" t="s">
        <v>35</v>
      </c>
      <c r="E8" s="2" t="s">
        <v>18</v>
      </c>
      <c r="F8" s="2" t="s">
        <v>32</v>
      </c>
      <c r="G8" s="2">
        <v>5</v>
      </c>
      <c r="H8" s="3">
        <v>60</v>
      </c>
      <c r="I8" s="4">
        <v>0</v>
      </c>
      <c r="J8" s="3">
        <f t="shared" si="0"/>
        <v>300</v>
      </c>
    </row>
    <row r="9" spans="1:12" x14ac:dyDescent="0.35">
      <c r="A9" s="5">
        <v>8</v>
      </c>
      <c r="B9" s="15">
        <v>45388</v>
      </c>
      <c r="C9" s="5" t="s">
        <v>11</v>
      </c>
      <c r="D9" s="5" t="s">
        <v>17</v>
      </c>
      <c r="E9" s="5" t="s">
        <v>13</v>
      </c>
      <c r="F9" s="5" t="s">
        <v>37</v>
      </c>
      <c r="G9" s="5">
        <v>3</v>
      </c>
      <c r="H9" s="6">
        <v>45</v>
      </c>
      <c r="I9" s="7">
        <v>10</v>
      </c>
      <c r="J9" s="6">
        <f t="shared" si="0"/>
        <v>121.5</v>
      </c>
    </row>
    <row r="10" spans="1:12" x14ac:dyDescent="0.35">
      <c r="A10" s="2">
        <v>9</v>
      </c>
      <c r="B10" s="14">
        <v>45341</v>
      </c>
      <c r="C10" s="2" t="s">
        <v>16</v>
      </c>
      <c r="D10" s="2" t="s">
        <v>12</v>
      </c>
      <c r="E10" s="2" t="s">
        <v>18</v>
      </c>
      <c r="F10" s="2" t="s">
        <v>39</v>
      </c>
      <c r="G10" s="2">
        <v>3</v>
      </c>
      <c r="H10" s="3">
        <v>55</v>
      </c>
      <c r="I10" s="4">
        <v>0</v>
      </c>
      <c r="J10" s="3">
        <f t="shared" si="0"/>
        <v>165</v>
      </c>
    </row>
    <row r="11" spans="1:12" x14ac:dyDescent="0.35">
      <c r="A11" s="5">
        <v>10</v>
      </c>
      <c r="B11" s="15">
        <v>45351</v>
      </c>
      <c r="C11" s="5" t="s">
        <v>11</v>
      </c>
      <c r="D11" s="5" t="s">
        <v>41</v>
      </c>
      <c r="E11" s="5" t="s">
        <v>13</v>
      </c>
      <c r="F11" s="5" t="s">
        <v>42</v>
      </c>
      <c r="G11" s="5">
        <v>3</v>
      </c>
      <c r="H11" s="6">
        <v>90</v>
      </c>
      <c r="I11" s="7">
        <v>0</v>
      </c>
      <c r="J11" s="6">
        <f t="shared" si="0"/>
        <v>270</v>
      </c>
    </row>
    <row r="12" spans="1:12" x14ac:dyDescent="0.35">
      <c r="A12" s="2">
        <v>11</v>
      </c>
      <c r="B12" s="14">
        <v>45386</v>
      </c>
      <c r="C12" s="2" t="s">
        <v>31</v>
      </c>
      <c r="D12" s="2" t="s">
        <v>21</v>
      </c>
      <c r="E12" s="2" t="s">
        <v>13</v>
      </c>
      <c r="F12" s="2" t="s">
        <v>44</v>
      </c>
      <c r="G12" s="2">
        <v>5</v>
      </c>
      <c r="H12" s="3">
        <v>35</v>
      </c>
      <c r="I12" s="4">
        <v>15</v>
      </c>
      <c r="J12" s="3">
        <f t="shared" si="0"/>
        <v>148.75</v>
      </c>
    </row>
    <row r="13" spans="1:12" x14ac:dyDescent="0.35">
      <c r="A13" s="5">
        <v>12</v>
      </c>
      <c r="B13" s="15">
        <v>45335</v>
      </c>
      <c r="C13" s="5" t="s">
        <v>34</v>
      </c>
      <c r="D13" s="5" t="s">
        <v>21</v>
      </c>
      <c r="E13" s="5" t="s">
        <v>22</v>
      </c>
      <c r="F13" s="5" t="s">
        <v>46</v>
      </c>
      <c r="G13" s="5">
        <v>4</v>
      </c>
      <c r="H13" s="6">
        <v>40</v>
      </c>
      <c r="I13" s="7">
        <v>0</v>
      </c>
      <c r="J13" s="6">
        <f t="shared" si="0"/>
        <v>160</v>
      </c>
    </row>
    <row r="14" spans="1:12" x14ac:dyDescent="0.35">
      <c r="A14" s="2">
        <v>13</v>
      </c>
      <c r="B14" s="14">
        <v>45455</v>
      </c>
      <c r="C14" s="2" t="s">
        <v>16</v>
      </c>
      <c r="D14" s="2" t="s">
        <v>17</v>
      </c>
      <c r="E14" s="2" t="s">
        <v>22</v>
      </c>
      <c r="F14" s="2" t="s">
        <v>47</v>
      </c>
      <c r="G14" s="2">
        <v>1</v>
      </c>
      <c r="H14" s="3">
        <v>50</v>
      </c>
      <c r="I14" s="4">
        <v>0</v>
      </c>
      <c r="J14" s="3">
        <f t="shared" si="0"/>
        <v>50</v>
      </c>
    </row>
    <row r="15" spans="1:12" x14ac:dyDescent="0.35">
      <c r="A15" s="5">
        <v>14</v>
      </c>
      <c r="B15" s="15">
        <v>45300</v>
      </c>
      <c r="C15" s="5" t="s">
        <v>31</v>
      </c>
      <c r="D15" s="5" t="s">
        <v>41</v>
      </c>
      <c r="E15" s="5" t="s">
        <v>13</v>
      </c>
      <c r="F15" s="5" t="s">
        <v>44</v>
      </c>
      <c r="G15" s="5">
        <v>2</v>
      </c>
      <c r="H15" s="6">
        <v>35</v>
      </c>
      <c r="I15" s="7">
        <v>10</v>
      </c>
      <c r="J15" s="6">
        <f t="shared" si="0"/>
        <v>63</v>
      </c>
    </row>
    <row r="16" spans="1:12" x14ac:dyDescent="0.35">
      <c r="A16" s="2">
        <v>15</v>
      </c>
      <c r="B16" s="14">
        <v>45372</v>
      </c>
      <c r="C16" s="2" t="s">
        <v>25</v>
      </c>
      <c r="D16" s="2" t="s">
        <v>41</v>
      </c>
      <c r="E16" s="2" t="s">
        <v>26</v>
      </c>
      <c r="F16" s="2" t="s">
        <v>51</v>
      </c>
      <c r="G16" s="2">
        <v>2</v>
      </c>
      <c r="H16" s="3">
        <v>60</v>
      </c>
      <c r="I16" s="4">
        <v>0</v>
      </c>
      <c r="J16" s="3">
        <f t="shared" si="0"/>
        <v>120</v>
      </c>
    </row>
    <row r="17" spans="1:10" x14ac:dyDescent="0.35">
      <c r="A17" s="5">
        <v>16</v>
      </c>
      <c r="B17" s="15">
        <v>45327</v>
      </c>
      <c r="C17" s="5" t="s">
        <v>25</v>
      </c>
      <c r="D17" s="5" t="s">
        <v>17</v>
      </c>
      <c r="E17" s="5" t="s">
        <v>13</v>
      </c>
      <c r="F17" s="5" t="s">
        <v>37</v>
      </c>
      <c r="G17" s="5">
        <v>4</v>
      </c>
      <c r="H17" s="6">
        <v>45</v>
      </c>
      <c r="I17" s="7">
        <v>10</v>
      </c>
      <c r="J17" s="6">
        <f t="shared" si="0"/>
        <v>162</v>
      </c>
    </row>
    <row r="18" spans="1:10" x14ac:dyDescent="0.35">
      <c r="A18" s="2">
        <v>17</v>
      </c>
      <c r="B18" s="14">
        <v>45394</v>
      </c>
      <c r="C18" s="2" t="s">
        <v>31</v>
      </c>
      <c r="D18" s="2" t="s">
        <v>21</v>
      </c>
      <c r="E18" s="2" t="s">
        <v>22</v>
      </c>
      <c r="F18" s="2" t="s">
        <v>23</v>
      </c>
      <c r="G18" s="2">
        <v>4</v>
      </c>
      <c r="H18" s="3">
        <v>65</v>
      </c>
      <c r="I18" s="4">
        <v>0</v>
      </c>
      <c r="J18" s="3">
        <f t="shared" si="0"/>
        <v>260</v>
      </c>
    </row>
    <row r="19" spans="1:10" x14ac:dyDescent="0.35">
      <c r="A19" s="5">
        <v>18</v>
      </c>
      <c r="B19" s="15">
        <v>45304</v>
      </c>
      <c r="C19" s="5" t="s">
        <v>11</v>
      </c>
      <c r="D19" s="5" t="s">
        <v>21</v>
      </c>
      <c r="E19" s="5" t="s">
        <v>22</v>
      </c>
      <c r="F19" s="5" t="s">
        <v>46</v>
      </c>
      <c r="G19" s="5">
        <v>5</v>
      </c>
      <c r="H19" s="6">
        <v>40</v>
      </c>
      <c r="I19" s="7">
        <v>0</v>
      </c>
      <c r="J19" s="6">
        <f t="shared" si="0"/>
        <v>200</v>
      </c>
    </row>
    <row r="20" spans="1:10" x14ac:dyDescent="0.35">
      <c r="A20" s="2">
        <v>19</v>
      </c>
      <c r="B20" s="14">
        <v>45390</v>
      </c>
      <c r="C20" s="2" t="s">
        <v>56</v>
      </c>
      <c r="D20" s="2" t="s">
        <v>17</v>
      </c>
      <c r="E20" s="2" t="s">
        <v>26</v>
      </c>
      <c r="F20" s="2" t="s">
        <v>57</v>
      </c>
      <c r="G20" s="2">
        <v>3</v>
      </c>
      <c r="H20" s="3">
        <v>150</v>
      </c>
      <c r="I20" s="4">
        <v>10</v>
      </c>
      <c r="J20" s="3">
        <f t="shared" si="0"/>
        <v>405</v>
      </c>
    </row>
    <row r="21" spans="1:10" x14ac:dyDescent="0.35">
      <c r="A21" s="5">
        <v>20</v>
      </c>
      <c r="B21" s="15">
        <v>45294</v>
      </c>
      <c r="C21" s="5" t="s">
        <v>16</v>
      </c>
      <c r="D21" s="5" t="s">
        <v>12</v>
      </c>
      <c r="E21" s="5" t="s">
        <v>13</v>
      </c>
      <c r="F21" s="5" t="s">
        <v>59</v>
      </c>
      <c r="G21" s="5">
        <v>1</v>
      </c>
      <c r="H21" s="6">
        <v>20</v>
      </c>
      <c r="I21" s="7">
        <v>0</v>
      </c>
      <c r="J21" s="6">
        <f t="shared" si="0"/>
        <v>20</v>
      </c>
    </row>
    <row r="22" spans="1:10" x14ac:dyDescent="0.35">
      <c r="A22" s="2">
        <v>21</v>
      </c>
      <c r="B22" s="14">
        <v>45403</v>
      </c>
      <c r="C22" s="2" t="s">
        <v>25</v>
      </c>
      <c r="D22" s="2" t="s">
        <v>41</v>
      </c>
      <c r="E22" s="2" t="s">
        <v>18</v>
      </c>
      <c r="F22" s="2" t="s">
        <v>61</v>
      </c>
      <c r="G22" s="2">
        <v>5</v>
      </c>
      <c r="H22" s="3">
        <v>75</v>
      </c>
      <c r="I22" s="4">
        <v>20</v>
      </c>
      <c r="J22" s="3">
        <f t="shared" si="0"/>
        <v>300</v>
      </c>
    </row>
    <row r="23" spans="1:10" x14ac:dyDescent="0.35">
      <c r="A23" s="5">
        <v>22</v>
      </c>
      <c r="B23" s="15">
        <v>45337</v>
      </c>
      <c r="C23" s="5" t="s">
        <v>34</v>
      </c>
      <c r="D23" s="5" t="s">
        <v>12</v>
      </c>
      <c r="E23" s="5" t="s">
        <v>13</v>
      </c>
      <c r="F23" s="5" t="s">
        <v>37</v>
      </c>
      <c r="G23" s="5">
        <v>5</v>
      </c>
      <c r="H23" s="6">
        <v>45</v>
      </c>
      <c r="I23" s="7">
        <v>0</v>
      </c>
      <c r="J23" s="6">
        <f t="shared" si="0"/>
        <v>225</v>
      </c>
    </row>
    <row r="24" spans="1:10" x14ac:dyDescent="0.35">
      <c r="A24" s="2">
        <v>23</v>
      </c>
      <c r="B24" s="14">
        <v>45331</v>
      </c>
      <c r="C24" s="2" t="s">
        <v>31</v>
      </c>
      <c r="D24" s="2" t="s">
        <v>21</v>
      </c>
      <c r="E24" s="2" t="s">
        <v>18</v>
      </c>
      <c r="F24" s="2" t="s">
        <v>19</v>
      </c>
      <c r="G24" s="2">
        <v>3</v>
      </c>
      <c r="H24" s="3">
        <v>45</v>
      </c>
      <c r="I24" s="4">
        <v>5</v>
      </c>
      <c r="J24" s="3">
        <f t="shared" si="0"/>
        <v>128.25</v>
      </c>
    </row>
    <row r="25" spans="1:10" x14ac:dyDescent="0.35">
      <c r="A25" s="5">
        <v>24</v>
      </c>
      <c r="B25" s="15">
        <v>45296</v>
      </c>
      <c r="C25" s="5" t="s">
        <v>11</v>
      </c>
      <c r="D25" s="5" t="s">
        <v>35</v>
      </c>
      <c r="E25" s="5" t="s">
        <v>13</v>
      </c>
      <c r="F25" s="5" t="s">
        <v>14</v>
      </c>
      <c r="G25" s="5">
        <v>1</v>
      </c>
      <c r="H25" s="6">
        <v>30</v>
      </c>
      <c r="I25" s="7">
        <v>0</v>
      </c>
      <c r="J25" s="6">
        <f t="shared" si="0"/>
        <v>30</v>
      </c>
    </row>
    <row r="26" spans="1:10" x14ac:dyDescent="0.35">
      <c r="A26" s="2">
        <v>25</v>
      </c>
      <c r="B26" s="14">
        <v>45437</v>
      </c>
      <c r="C26" s="2" t="s">
        <v>11</v>
      </c>
      <c r="D26" s="2" t="s">
        <v>12</v>
      </c>
      <c r="E26" s="2" t="s">
        <v>26</v>
      </c>
      <c r="F26" s="2" t="s">
        <v>66</v>
      </c>
      <c r="G26" s="2">
        <v>5</v>
      </c>
      <c r="H26" s="3">
        <v>95</v>
      </c>
      <c r="I26" s="4">
        <v>20</v>
      </c>
      <c r="J26" s="3">
        <f t="shared" si="0"/>
        <v>380</v>
      </c>
    </row>
    <row r="27" spans="1:10" x14ac:dyDescent="0.35">
      <c r="A27" s="5">
        <v>26</v>
      </c>
      <c r="B27" s="15">
        <v>45324</v>
      </c>
      <c r="C27" s="5" t="s">
        <v>25</v>
      </c>
      <c r="D27" s="5" t="s">
        <v>41</v>
      </c>
      <c r="E27" s="5" t="s">
        <v>22</v>
      </c>
      <c r="F27" s="5" t="s">
        <v>47</v>
      </c>
      <c r="G27" s="5">
        <v>5</v>
      </c>
      <c r="H27" s="6">
        <v>50</v>
      </c>
      <c r="I27" s="7">
        <v>20</v>
      </c>
      <c r="J27" s="6">
        <f t="shared" si="0"/>
        <v>200</v>
      </c>
    </row>
    <row r="28" spans="1:10" x14ac:dyDescent="0.35">
      <c r="A28" s="2">
        <v>27</v>
      </c>
      <c r="B28" s="14">
        <v>45447</v>
      </c>
      <c r="C28" s="2" t="s">
        <v>56</v>
      </c>
      <c r="D28" s="2" t="s">
        <v>21</v>
      </c>
      <c r="E28" s="2" t="s">
        <v>22</v>
      </c>
      <c r="F28" s="2" t="s">
        <v>47</v>
      </c>
      <c r="G28" s="2">
        <v>4</v>
      </c>
      <c r="H28" s="3">
        <v>50</v>
      </c>
      <c r="I28" s="4">
        <v>15</v>
      </c>
      <c r="J28" s="3">
        <f t="shared" si="0"/>
        <v>170</v>
      </c>
    </row>
    <row r="29" spans="1:10" x14ac:dyDescent="0.35">
      <c r="A29" s="5">
        <v>28</v>
      </c>
      <c r="B29" s="15">
        <v>45458</v>
      </c>
      <c r="C29" s="5" t="s">
        <v>31</v>
      </c>
      <c r="D29" s="5" t="s">
        <v>41</v>
      </c>
      <c r="E29" s="5" t="s">
        <v>26</v>
      </c>
      <c r="F29" s="5" t="s">
        <v>66</v>
      </c>
      <c r="G29" s="5">
        <v>2</v>
      </c>
      <c r="H29" s="6">
        <v>95</v>
      </c>
      <c r="I29" s="7">
        <v>0</v>
      </c>
      <c r="J29" s="6">
        <f t="shared" si="0"/>
        <v>190</v>
      </c>
    </row>
    <row r="30" spans="1:10" x14ac:dyDescent="0.35">
      <c r="A30" s="2">
        <v>29</v>
      </c>
      <c r="B30" s="14">
        <v>45308</v>
      </c>
      <c r="C30" s="2" t="s">
        <v>31</v>
      </c>
      <c r="D30" s="2" t="s">
        <v>12</v>
      </c>
      <c r="E30" s="2" t="s">
        <v>22</v>
      </c>
      <c r="F30" s="2" t="s">
        <v>23</v>
      </c>
      <c r="G30" s="2">
        <v>2</v>
      </c>
      <c r="H30" s="3">
        <v>65</v>
      </c>
      <c r="I30" s="4">
        <v>0</v>
      </c>
      <c r="J30" s="3">
        <f t="shared" si="0"/>
        <v>130</v>
      </c>
    </row>
    <row r="31" spans="1:10" x14ac:dyDescent="0.35">
      <c r="A31" s="5">
        <v>30</v>
      </c>
      <c r="B31" s="15">
        <v>45310</v>
      </c>
      <c r="C31" s="5" t="s">
        <v>16</v>
      </c>
      <c r="D31" s="5" t="s">
        <v>12</v>
      </c>
      <c r="E31" s="5" t="s">
        <v>22</v>
      </c>
      <c r="F31" s="5" t="s">
        <v>72</v>
      </c>
      <c r="G31" s="5">
        <v>1</v>
      </c>
      <c r="H31" s="6">
        <v>80</v>
      </c>
      <c r="I31" s="7">
        <v>20</v>
      </c>
      <c r="J31" s="6">
        <f t="shared" si="0"/>
        <v>64</v>
      </c>
    </row>
    <row r="32" spans="1:10" x14ac:dyDescent="0.35">
      <c r="A32" s="2">
        <v>31</v>
      </c>
      <c r="B32" s="14">
        <v>45376</v>
      </c>
      <c r="C32" s="2" t="s">
        <v>11</v>
      </c>
      <c r="D32" s="2" t="s">
        <v>17</v>
      </c>
      <c r="E32" s="2" t="s">
        <v>22</v>
      </c>
      <c r="F32" s="2" t="s">
        <v>47</v>
      </c>
      <c r="G32" s="2">
        <v>4</v>
      </c>
      <c r="H32" s="3">
        <v>50</v>
      </c>
      <c r="I32" s="4">
        <v>0</v>
      </c>
      <c r="J32" s="3">
        <f t="shared" si="0"/>
        <v>200</v>
      </c>
    </row>
    <row r="33" spans="1:10" x14ac:dyDescent="0.35">
      <c r="A33" s="5">
        <v>32</v>
      </c>
      <c r="B33" s="15">
        <v>45430</v>
      </c>
      <c r="C33" s="5" t="s">
        <v>25</v>
      </c>
      <c r="D33" s="5" t="s">
        <v>17</v>
      </c>
      <c r="E33" s="5" t="s">
        <v>26</v>
      </c>
      <c r="F33" s="5" t="s">
        <v>27</v>
      </c>
      <c r="G33" s="5">
        <v>4</v>
      </c>
      <c r="H33" s="6">
        <v>120</v>
      </c>
      <c r="I33" s="7">
        <v>20</v>
      </c>
      <c r="J33" s="6">
        <f t="shared" si="0"/>
        <v>384</v>
      </c>
    </row>
    <row r="34" spans="1:10" x14ac:dyDescent="0.35">
      <c r="A34" s="5">
        <v>34</v>
      </c>
      <c r="B34" s="15">
        <v>45397</v>
      </c>
      <c r="C34" s="5" t="s">
        <v>56</v>
      </c>
      <c r="D34" s="5" t="s">
        <v>12</v>
      </c>
      <c r="E34" s="5" t="s">
        <v>18</v>
      </c>
      <c r="F34" s="5" t="s">
        <v>77</v>
      </c>
      <c r="G34" s="5">
        <v>4</v>
      </c>
      <c r="H34" s="6">
        <v>25</v>
      </c>
      <c r="I34" s="7">
        <v>15</v>
      </c>
      <c r="J34" s="6">
        <f t="shared" ref="J34:J65" si="1">G34*H34*(1-I34/100)</f>
        <v>85</v>
      </c>
    </row>
    <row r="35" spans="1:10" x14ac:dyDescent="0.35">
      <c r="A35" s="2">
        <v>35</v>
      </c>
      <c r="B35" s="14">
        <v>45378</v>
      </c>
      <c r="C35" s="2" t="s">
        <v>11</v>
      </c>
      <c r="D35" s="2" t="s">
        <v>21</v>
      </c>
      <c r="E35" s="2" t="s">
        <v>22</v>
      </c>
      <c r="F35" s="2" t="s">
        <v>79</v>
      </c>
      <c r="G35" s="2">
        <v>5</v>
      </c>
      <c r="H35" s="3">
        <v>70</v>
      </c>
      <c r="I35" s="4">
        <v>5</v>
      </c>
      <c r="J35" s="3">
        <f t="shared" si="1"/>
        <v>332.5</v>
      </c>
    </row>
    <row r="36" spans="1:10" x14ac:dyDescent="0.35">
      <c r="A36" s="5">
        <v>36</v>
      </c>
      <c r="B36" s="15">
        <v>45327</v>
      </c>
      <c r="C36" s="5" t="s">
        <v>56</v>
      </c>
      <c r="D36" s="5" t="s">
        <v>21</v>
      </c>
      <c r="E36" s="5" t="s">
        <v>13</v>
      </c>
      <c r="F36" s="5" t="s">
        <v>42</v>
      </c>
      <c r="G36" s="5">
        <v>2</v>
      </c>
      <c r="H36" s="6">
        <v>90</v>
      </c>
      <c r="I36" s="7">
        <v>20</v>
      </c>
      <c r="J36" s="6">
        <f t="shared" si="1"/>
        <v>144</v>
      </c>
    </row>
    <row r="37" spans="1:10" x14ac:dyDescent="0.35">
      <c r="A37" s="2">
        <v>37</v>
      </c>
      <c r="B37" s="14">
        <v>45311</v>
      </c>
      <c r="C37" s="2" t="s">
        <v>56</v>
      </c>
      <c r="D37" s="2" t="s">
        <v>17</v>
      </c>
      <c r="E37" s="2" t="s">
        <v>18</v>
      </c>
      <c r="F37" s="2" t="s">
        <v>77</v>
      </c>
      <c r="G37" s="2">
        <v>5</v>
      </c>
      <c r="H37" s="3">
        <v>25</v>
      </c>
      <c r="I37" s="4">
        <v>20</v>
      </c>
      <c r="J37" s="3">
        <f t="shared" si="1"/>
        <v>100</v>
      </c>
    </row>
    <row r="38" spans="1:10" x14ac:dyDescent="0.35">
      <c r="A38" s="5">
        <v>38</v>
      </c>
      <c r="B38" s="15">
        <v>45295</v>
      </c>
      <c r="C38" s="5" t="s">
        <v>11</v>
      </c>
      <c r="D38" s="5" t="s">
        <v>21</v>
      </c>
      <c r="E38" s="5" t="s">
        <v>22</v>
      </c>
      <c r="F38" s="5" t="s">
        <v>46</v>
      </c>
      <c r="G38" s="5">
        <v>4</v>
      </c>
      <c r="H38" s="6">
        <v>40</v>
      </c>
      <c r="I38" s="7">
        <v>5</v>
      </c>
      <c r="J38" s="6">
        <f t="shared" si="1"/>
        <v>152</v>
      </c>
    </row>
    <row r="39" spans="1:10" x14ac:dyDescent="0.35">
      <c r="A39" s="2">
        <v>39</v>
      </c>
      <c r="B39" s="14">
        <v>45346</v>
      </c>
      <c r="C39" s="2" t="s">
        <v>56</v>
      </c>
      <c r="D39" s="2" t="s">
        <v>12</v>
      </c>
      <c r="E39" s="2" t="s">
        <v>22</v>
      </c>
      <c r="F39" s="2" t="s">
        <v>46</v>
      </c>
      <c r="G39" s="2">
        <v>1</v>
      </c>
      <c r="H39" s="3">
        <v>40</v>
      </c>
      <c r="I39" s="4">
        <v>5</v>
      </c>
      <c r="J39" s="3">
        <f t="shared" si="1"/>
        <v>38</v>
      </c>
    </row>
    <row r="40" spans="1:10" x14ac:dyDescent="0.35">
      <c r="A40" s="5">
        <v>40</v>
      </c>
      <c r="B40" s="15">
        <v>45359</v>
      </c>
      <c r="C40" s="5" t="s">
        <v>56</v>
      </c>
      <c r="D40" s="5" t="s">
        <v>35</v>
      </c>
      <c r="E40" s="5" t="s">
        <v>26</v>
      </c>
      <c r="F40" s="5" t="s">
        <v>57</v>
      </c>
      <c r="G40" s="5">
        <v>4</v>
      </c>
      <c r="H40" s="6">
        <v>150</v>
      </c>
      <c r="I40" s="7">
        <v>0</v>
      </c>
      <c r="J40" s="6">
        <f t="shared" si="1"/>
        <v>600</v>
      </c>
    </row>
    <row r="41" spans="1:10" x14ac:dyDescent="0.35">
      <c r="A41" s="2">
        <v>41</v>
      </c>
      <c r="B41" s="14">
        <v>45340</v>
      </c>
      <c r="C41" s="2" t="s">
        <v>31</v>
      </c>
      <c r="D41" s="2" t="s">
        <v>21</v>
      </c>
      <c r="E41" s="2" t="s">
        <v>18</v>
      </c>
      <c r="F41" s="2" t="s">
        <v>19</v>
      </c>
      <c r="G41" s="2">
        <v>5</v>
      </c>
      <c r="H41" s="3">
        <v>45</v>
      </c>
      <c r="I41" s="4">
        <v>0</v>
      </c>
      <c r="J41" s="3">
        <f t="shared" si="1"/>
        <v>225</v>
      </c>
    </row>
    <row r="42" spans="1:10" x14ac:dyDescent="0.35">
      <c r="A42" s="5">
        <v>42</v>
      </c>
      <c r="B42" s="15">
        <v>45372</v>
      </c>
      <c r="C42" s="5" t="s">
        <v>11</v>
      </c>
      <c r="D42" s="5" t="s">
        <v>12</v>
      </c>
      <c r="E42" s="5" t="s">
        <v>26</v>
      </c>
      <c r="F42" s="5" t="s">
        <v>57</v>
      </c>
      <c r="G42" s="5">
        <v>5</v>
      </c>
      <c r="H42" s="6">
        <v>150</v>
      </c>
      <c r="I42" s="7">
        <v>0</v>
      </c>
      <c r="J42" s="6">
        <f t="shared" si="1"/>
        <v>750</v>
      </c>
    </row>
    <row r="43" spans="1:10" x14ac:dyDescent="0.35">
      <c r="A43" s="2">
        <v>43</v>
      </c>
      <c r="B43" s="14">
        <v>45306</v>
      </c>
      <c r="C43" s="2" t="s">
        <v>34</v>
      </c>
      <c r="D43" s="2" t="s">
        <v>12</v>
      </c>
      <c r="E43" s="2" t="s">
        <v>22</v>
      </c>
      <c r="F43" s="2" t="s">
        <v>72</v>
      </c>
      <c r="G43" s="2">
        <v>5</v>
      </c>
      <c r="H43" s="3">
        <v>80</v>
      </c>
      <c r="I43" s="4">
        <v>0</v>
      </c>
      <c r="J43" s="3">
        <f t="shared" si="1"/>
        <v>400</v>
      </c>
    </row>
    <row r="44" spans="1:10" x14ac:dyDescent="0.35">
      <c r="A44" s="5">
        <v>44</v>
      </c>
      <c r="B44" s="15">
        <v>45464</v>
      </c>
      <c r="C44" s="5" t="s">
        <v>25</v>
      </c>
      <c r="D44" s="5" t="s">
        <v>41</v>
      </c>
      <c r="E44" s="5" t="s">
        <v>18</v>
      </c>
      <c r="F44" s="5" t="s">
        <v>19</v>
      </c>
      <c r="G44" s="5">
        <v>2</v>
      </c>
      <c r="H44" s="6">
        <v>45</v>
      </c>
      <c r="I44" s="7">
        <v>10</v>
      </c>
      <c r="J44" s="6">
        <f t="shared" si="1"/>
        <v>81</v>
      </c>
    </row>
    <row r="45" spans="1:10" x14ac:dyDescent="0.35">
      <c r="A45" s="2">
        <v>45</v>
      </c>
      <c r="B45" s="14">
        <v>45444</v>
      </c>
      <c r="C45" s="2" t="s">
        <v>11</v>
      </c>
      <c r="D45" s="2" t="s">
        <v>17</v>
      </c>
      <c r="E45" s="2" t="s">
        <v>18</v>
      </c>
      <c r="F45" s="2" t="s">
        <v>32</v>
      </c>
      <c r="G45" s="2">
        <v>5</v>
      </c>
      <c r="H45" s="3">
        <v>60</v>
      </c>
      <c r="I45" s="4">
        <v>10</v>
      </c>
      <c r="J45" s="3">
        <f t="shared" si="1"/>
        <v>270</v>
      </c>
    </row>
    <row r="46" spans="1:10" x14ac:dyDescent="0.35">
      <c r="A46" s="5">
        <v>46</v>
      </c>
      <c r="B46" s="15">
        <v>45425</v>
      </c>
      <c r="C46" s="5" t="s">
        <v>31</v>
      </c>
      <c r="D46" s="5" t="s">
        <v>35</v>
      </c>
      <c r="E46" s="5" t="s">
        <v>22</v>
      </c>
      <c r="F46" s="5" t="s">
        <v>47</v>
      </c>
      <c r="G46" s="5">
        <v>2</v>
      </c>
      <c r="H46" s="6">
        <v>50</v>
      </c>
      <c r="I46" s="7">
        <v>0</v>
      </c>
      <c r="J46" s="6">
        <f t="shared" si="1"/>
        <v>100</v>
      </c>
    </row>
    <row r="47" spans="1:10" x14ac:dyDescent="0.35">
      <c r="A47" s="2">
        <v>47</v>
      </c>
      <c r="B47" s="14">
        <v>45393</v>
      </c>
      <c r="C47" s="2" t="s">
        <v>25</v>
      </c>
      <c r="D47" s="2" t="s">
        <v>35</v>
      </c>
      <c r="E47" s="2" t="s">
        <v>26</v>
      </c>
      <c r="F47" s="2" t="s">
        <v>29</v>
      </c>
      <c r="G47" s="2">
        <v>1</v>
      </c>
      <c r="H47" s="3">
        <v>85</v>
      </c>
      <c r="I47" s="4">
        <v>0</v>
      </c>
      <c r="J47" s="3">
        <f t="shared" si="1"/>
        <v>85</v>
      </c>
    </row>
    <row r="48" spans="1:10" x14ac:dyDescent="0.35">
      <c r="A48" s="5">
        <v>48</v>
      </c>
      <c r="B48" s="15">
        <v>45409</v>
      </c>
      <c r="C48" s="5" t="s">
        <v>34</v>
      </c>
      <c r="D48" s="5" t="s">
        <v>17</v>
      </c>
      <c r="E48" s="5" t="s">
        <v>18</v>
      </c>
      <c r="F48" s="5" t="s">
        <v>77</v>
      </c>
      <c r="G48" s="5">
        <v>5</v>
      </c>
      <c r="H48" s="6">
        <v>25</v>
      </c>
      <c r="I48" s="7">
        <v>0</v>
      </c>
      <c r="J48" s="6">
        <f t="shared" si="1"/>
        <v>125</v>
      </c>
    </row>
    <row r="49" spans="1:10" x14ac:dyDescent="0.35">
      <c r="A49" s="2">
        <v>49</v>
      </c>
      <c r="B49" s="14">
        <v>45421</v>
      </c>
      <c r="C49" s="2" t="s">
        <v>31</v>
      </c>
      <c r="D49" s="2" t="s">
        <v>21</v>
      </c>
      <c r="E49" s="2" t="s">
        <v>13</v>
      </c>
      <c r="F49" s="2" t="s">
        <v>44</v>
      </c>
      <c r="G49" s="2">
        <v>2</v>
      </c>
      <c r="H49" s="3">
        <v>35</v>
      </c>
      <c r="I49" s="4">
        <v>0</v>
      </c>
      <c r="J49" s="3">
        <f t="shared" si="1"/>
        <v>70</v>
      </c>
    </row>
    <row r="50" spans="1:10" x14ac:dyDescent="0.35">
      <c r="A50" s="5">
        <v>50</v>
      </c>
      <c r="B50" s="15">
        <v>45364</v>
      </c>
      <c r="C50" s="5" t="s">
        <v>25</v>
      </c>
      <c r="D50" s="5" t="s">
        <v>41</v>
      </c>
      <c r="E50" s="5" t="s">
        <v>13</v>
      </c>
      <c r="F50" s="5" t="s">
        <v>37</v>
      </c>
      <c r="G50" s="5">
        <v>5</v>
      </c>
      <c r="H50" s="6">
        <v>45</v>
      </c>
      <c r="I50" s="7">
        <v>0</v>
      </c>
      <c r="J50" s="6">
        <f t="shared" si="1"/>
        <v>225</v>
      </c>
    </row>
    <row r="51" spans="1:10" x14ac:dyDescent="0.35">
      <c r="A51" s="2">
        <v>51</v>
      </c>
      <c r="B51" s="14">
        <v>45462</v>
      </c>
      <c r="C51" s="2" t="s">
        <v>34</v>
      </c>
      <c r="D51" s="2" t="s">
        <v>35</v>
      </c>
      <c r="E51" s="2" t="s">
        <v>18</v>
      </c>
      <c r="F51" s="2" t="s">
        <v>39</v>
      </c>
      <c r="G51" s="2">
        <v>3</v>
      </c>
      <c r="H51" s="3">
        <v>55</v>
      </c>
      <c r="I51" s="4">
        <v>0</v>
      </c>
      <c r="J51" s="3">
        <f t="shared" si="1"/>
        <v>165</v>
      </c>
    </row>
    <row r="52" spans="1:10" x14ac:dyDescent="0.35">
      <c r="A52" s="5">
        <v>52</v>
      </c>
      <c r="B52" s="15">
        <v>45319</v>
      </c>
      <c r="C52" s="5" t="s">
        <v>16</v>
      </c>
      <c r="D52" s="5" t="s">
        <v>17</v>
      </c>
      <c r="E52" s="5" t="s">
        <v>22</v>
      </c>
      <c r="F52" s="5" t="s">
        <v>47</v>
      </c>
      <c r="G52" s="5">
        <v>3</v>
      </c>
      <c r="H52" s="6">
        <v>50</v>
      </c>
      <c r="I52" s="7">
        <v>10</v>
      </c>
      <c r="J52" s="6">
        <f t="shared" si="1"/>
        <v>135</v>
      </c>
    </row>
    <row r="53" spans="1:10" x14ac:dyDescent="0.35">
      <c r="A53" s="2">
        <v>53</v>
      </c>
      <c r="B53" s="14">
        <v>45345</v>
      </c>
      <c r="C53" s="2" t="s">
        <v>16</v>
      </c>
      <c r="D53" s="2" t="s">
        <v>35</v>
      </c>
      <c r="E53" s="2" t="s">
        <v>22</v>
      </c>
      <c r="F53" s="2" t="s">
        <v>47</v>
      </c>
      <c r="G53" s="2">
        <v>5</v>
      </c>
      <c r="H53" s="3">
        <v>50</v>
      </c>
      <c r="I53" s="4">
        <v>5</v>
      </c>
      <c r="J53" s="3">
        <f t="shared" si="1"/>
        <v>237.5</v>
      </c>
    </row>
    <row r="54" spans="1:10" x14ac:dyDescent="0.35">
      <c r="A54" s="5">
        <v>54</v>
      </c>
      <c r="B54" s="15">
        <v>45356</v>
      </c>
      <c r="C54" s="5" t="s">
        <v>11</v>
      </c>
      <c r="D54" s="5" t="s">
        <v>12</v>
      </c>
      <c r="E54" s="5" t="s">
        <v>26</v>
      </c>
      <c r="F54" s="5" t="s">
        <v>29</v>
      </c>
      <c r="G54" s="5">
        <v>1</v>
      </c>
      <c r="H54" s="6">
        <v>85</v>
      </c>
      <c r="I54" s="7">
        <v>0</v>
      </c>
      <c r="J54" s="6">
        <f t="shared" si="1"/>
        <v>85</v>
      </c>
    </row>
    <row r="55" spans="1:10" x14ac:dyDescent="0.35">
      <c r="A55" s="2">
        <v>55</v>
      </c>
      <c r="B55" s="14">
        <v>45377</v>
      </c>
      <c r="C55" s="2" t="s">
        <v>25</v>
      </c>
      <c r="D55" s="2" t="s">
        <v>35</v>
      </c>
      <c r="E55" s="2" t="s">
        <v>22</v>
      </c>
      <c r="F55" s="2" t="s">
        <v>46</v>
      </c>
      <c r="G55" s="2">
        <v>0</v>
      </c>
      <c r="H55" s="3">
        <v>40</v>
      </c>
      <c r="I55" s="4">
        <v>15</v>
      </c>
      <c r="J55" s="3">
        <f t="shared" si="1"/>
        <v>0</v>
      </c>
    </row>
    <row r="56" spans="1:10" x14ac:dyDescent="0.35">
      <c r="A56" s="5">
        <v>56</v>
      </c>
      <c r="B56" s="15">
        <v>45401</v>
      </c>
      <c r="C56" s="5" t="s">
        <v>34</v>
      </c>
      <c r="D56" s="5" t="s">
        <v>12</v>
      </c>
      <c r="E56" s="5" t="s">
        <v>18</v>
      </c>
      <c r="F56" s="5" t="s">
        <v>77</v>
      </c>
      <c r="G56" s="5">
        <v>2</v>
      </c>
      <c r="H56" s="6">
        <v>25</v>
      </c>
      <c r="I56" s="7">
        <v>10</v>
      </c>
      <c r="J56" s="6">
        <f t="shared" si="1"/>
        <v>45</v>
      </c>
    </row>
    <row r="57" spans="1:10" x14ac:dyDescent="0.35">
      <c r="A57" s="2">
        <v>57</v>
      </c>
      <c r="B57" s="14">
        <v>45301</v>
      </c>
      <c r="C57" s="2" t="s">
        <v>31</v>
      </c>
      <c r="D57" s="2" t="s">
        <v>17</v>
      </c>
      <c r="E57" s="2" t="s">
        <v>22</v>
      </c>
      <c r="F57" s="2" t="s">
        <v>46</v>
      </c>
      <c r="G57" s="2">
        <v>2</v>
      </c>
      <c r="H57" s="3">
        <v>40</v>
      </c>
      <c r="I57" s="4">
        <v>0</v>
      </c>
      <c r="J57" s="3">
        <f t="shared" si="1"/>
        <v>80</v>
      </c>
    </row>
    <row r="58" spans="1:10" x14ac:dyDescent="0.35">
      <c r="A58" s="5">
        <v>58</v>
      </c>
      <c r="B58" s="15">
        <v>45370</v>
      </c>
      <c r="C58" s="5" t="s">
        <v>31</v>
      </c>
      <c r="D58" s="5" t="s">
        <v>12</v>
      </c>
      <c r="E58" s="5" t="s">
        <v>13</v>
      </c>
      <c r="F58" s="5" t="s">
        <v>14</v>
      </c>
      <c r="G58" s="5">
        <v>2</v>
      </c>
      <c r="H58" s="6">
        <v>30</v>
      </c>
      <c r="I58" s="7">
        <v>15</v>
      </c>
      <c r="J58" s="6">
        <f t="shared" si="1"/>
        <v>51</v>
      </c>
    </row>
    <row r="59" spans="1:10" x14ac:dyDescent="0.35">
      <c r="A59" s="2">
        <v>59</v>
      </c>
      <c r="B59" s="14">
        <v>45318</v>
      </c>
      <c r="C59" s="2" t="s">
        <v>31</v>
      </c>
      <c r="D59" s="2" t="s">
        <v>17</v>
      </c>
      <c r="E59" s="2" t="s">
        <v>26</v>
      </c>
      <c r="F59" s="2" t="s">
        <v>57</v>
      </c>
      <c r="G59" s="2">
        <v>2</v>
      </c>
      <c r="H59" s="3">
        <v>150</v>
      </c>
      <c r="I59" s="4">
        <v>0</v>
      </c>
      <c r="J59" s="3">
        <f t="shared" si="1"/>
        <v>300</v>
      </c>
    </row>
    <row r="60" spans="1:10" x14ac:dyDescent="0.35">
      <c r="A60" s="5">
        <v>60</v>
      </c>
      <c r="B60" s="15">
        <v>45333</v>
      </c>
      <c r="C60" s="5" t="s">
        <v>25</v>
      </c>
      <c r="D60" s="5" t="s">
        <v>41</v>
      </c>
      <c r="E60" s="5" t="s">
        <v>18</v>
      </c>
      <c r="F60" s="5" t="s">
        <v>39</v>
      </c>
      <c r="G60" s="5">
        <v>3</v>
      </c>
      <c r="H60" s="6">
        <v>55</v>
      </c>
      <c r="I60" s="7">
        <v>20</v>
      </c>
      <c r="J60" s="6">
        <f t="shared" si="1"/>
        <v>132</v>
      </c>
    </row>
    <row r="61" spans="1:10" x14ac:dyDescent="0.35">
      <c r="A61" s="2">
        <v>61</v>
      </c>
      <c r="B61" s="14">
        <v>45397</v>
      </c>
      <c r="C61" s="2" t="s">
        <v>16</v>
      </c>
      <c r="D61" s="2" t="s">
        <v>21</v>
      </c>
      <c r="E61" s="2" t="s">
        <v>13</v>
      </c>
      <c r="F61" s="2" t="s">
        <v>14</v>
      </c>
      <c r="G61" s="2">
        <v>1</v>
      </c>
      <c r="H61" s="3">
        <v>30</v>
      </c>
      <c r="I61" s="4">
        <v>5</v>
      </c>
      <c r="J61" s="3">
        <f t="shared" si="1"/>
        <v>28.5</v>
      </c>
    </row>
    <row r="62" spans="1:10" x14ac:dyDescent="0.35">
      <c r="A62" s="5">
        <v>62</v>
      </c>
      <c r="B62" s="15">
        <v>45301</v>
      </c>
      <c r="C62" s="5" t="s">
        <v>56</v>
      </c>
      <c r="D62" s="5" t="s">
        <v>21</v>
      </c>
      <c r="E62" s="5" t="s">
        <v>22</v>
      </c>
      <c r="F62" s="5" t="s">
        <v>46</v>
      </c>
      <c r="G62" s="5">
        <v>3</v>
      </c>
      <c r="H62" s="6">
        <v>40</v>
      </c>
      <c r="I62" s="7">
        <v>0</v>
      </c>
      <c r="J62" s="6">
        <f t="shared" si="1"/>
        <v>120</v>
      </c>
    </row>
    <row r="63" spans="1:10" x14ac:dyDescent="0.35">
      <c r="A63" s="2">
        <v>63</v>
      </c>
      <c r="B63" s="14">
        <v>45350</v>
      </c>
      <c r="C63" s="2" t="s">
        <v>25</v>
      </c>
      <c r="D63" s="2" t="s">
        <v>12</v>
      </c>
      <c r="E63" s="2" t="s">
        <v>22</v>
      </c>
      <c r="F63" s="2" t="s">
        <v>46</v>
      </c>
      <c r="G63" s="2">
        <v>3</v>
      </c>
      <c r="H63" s="3">
        <v>40</v>
      </c>
      <c r="I63" s="4">
        <v>0</v>
      </c>
      <c r="J63" s="3">
        <f t="shared" si="1"/>
        <v>120</v>
      </c>
    </row>
    <row r="64" spans="1:10" x14ac:dyDescent="0.35">
      <c r="A64" s="5">
        <v>64</v>
      </c>
      <c r="B64" s="15">
        <v>45309</v>
      </c>
      <c r="C64" s="5" t="s">
        <v>31</v>
      </c>
      <c r="D64" s="5" t="s">
        <v>35</v>
      </c>
      <c r="E64" s="5" t="s">
        <v>26</v>
      </c>
      <c r="F64" s="5" t="s">
        <v>57</v>
      </c>
      <c r="G64" s="5">
        <v>3</v>
      </c>
      <c r="H64" s="6">
        <v>150</v>
      </c>
      <c r="I64" s="7">
        <v>0</v>
      </c>
      <c r="J64" s="6">
        <f t="shared" si="1"/>
        <v>450</v>
      </c>
    </row>
    <row r="65" spans="1:10" x14ac:dyDescent="0.35">
      <c r="A65" s="2">
        <v>65</v>
      </c>
      <c r="B65" s="14">
        <v>45321</v>
      </c>
      <c r="C65" s="2" t="s">
        <v>31</v>
      </c>
      <c r="D65" s="2" t="s">
        <v>21</v>
      </c>
      <c r="E65" s="2" t="s">
        <v>13</v>
      </c>
      <c r="F65" s="2" t="s">
        <v>44</v>
      </c>
      <c r="G65" s="2">
        <v>1</v>
      </c>
      <c r="H65" s="3">
        <v>35</v>
      </c>
      <c r="I65" s="4">
        <v>10</v>
      </c>
      <c r="J65" s="3">
        <f t="shared" si="1"/>
        <v>31.5</v>
      </c>
    </row>
    <row r="66" spans="1:10" x14ac:dyDescent="0.35">
      <c r="A66" s="5">
        <v>66</v>
      </c>
      <c r="B66" s="15">
        <v>45403</v>
      </c>
      <c r="C66" s="5" t="s">
        <v>31</v>
      </c>
      <c r="D66" s="5" t="s">
        <v>35</v>
      </c>
      <c r="E66" s="5" t="s">
        <v>26</v>
      </c>
      <c r="F66" s="5" t="s">
        <v>57</v>
      </c>
      <c r="G66" s="5">
        <v>5</v>
      </c>
      <c r="H66" s="6">
        <v>150</v>
      </c>
      <c r="I66" s="7">
        <v>0</v>
      </c>
      <c r="J66" s="6">
        <f t="shared" ref="J66:J97" si="2">G66*H66*(1-I66/100)</f>
        <v>750</v>
      </c>
    </row>
    <row r="67" spans="1:10" x14ac:dyDescent="0.35">
      <c r="A67" s="2">
        <v>67</v>
      </c>
      <c r="B67" s="14">
        <v>45390</v>
      </c>
      <c r="C67" s="2" t="s">
        <v>34</v>
      </c>
      <c r="D67" s="2" t="s">
        <v>21</v>
      </c>
      <c r="E67" s="2" t="s">
        <v>13</v>
      </c>
      <c r="F67" s="2" t="s">
        <v>44</v>
      </c>
      <c r="G67" s="2">
        <v>4</v>
      </c>
      <c r="H67" s="3">
        <v>35</v>
      </c>
      <c r="I67" s="4">
        <v>0</v>
      </c>
      <c r="J67" s="3">
        <f t="shared" si="2"/>
        <v>140</v>
      </c>
    </row>
    <row r="68" spans="1:10" x14ac:dyDescent="0.35">
      <c r="A68" s="5">
        <v>68</v>
      </c>
      <c r="B68" s="15">
        <v>45425</v>
      </c>
      <c r="C68" s="5" t="s">
        <v>34</v>
      </c>
      <c r="D68" s="5" t="s">
        <v>21</v>
      </c>
      <c r="E68" s="5" t="s">
        <v>13</v>
      </c>
      <c r="F68" s="5" t="s">
        <v>42</v>
      </c>
      <c r="G68" s="5">
        <v>1</v>
      </c>
      <c r="H68" s="6">
        <v>90</v>
      </c>
      <c r="I68" s="7">
        <v>15</v>
      </c>
      <c r="J68" s="6">
        <f t="shared" si="2"/>
        <v>76.5</v>
      </c>
    </row>
    <row r="69" spans="1:10" x14ac:dyDescent="0.35">
      <c r="A69" s="2">
        <v>69</v>
      </c>
      <c r="B69" s="14">
        <v>45376</v>
      </c>
      <c r="C69" s="2" t="s">
        <v>34</v>
      </c>
      <c r="D69" s="2" t="s">
        <v>35</v>
      </c>
      <c r="E69" s="2" t="s">
        <v>18</v>
      </c>
      <c r="F69" s="2" t="s">
        <v>61</v>
      </c>
      <c r="G69" s="2">
        <v>5</v>
      </c>
      <c r="H69" s="3">
        <v>75</v>
      </c>
      <c r="I69" s="4">
        <v>0</v>
      </c>
      <c r="J69" s="3">
        <f t="shared" si="2"/>
        <v>375</v>
      </c>
    </row>
    <row r="70" spans="1:10" x14ac:dyDescent="0.35">
      <c r="A70" s="5">
        <v>70</v>
      </c>
      <c r="B70" s="15">
        <v>45462</v>
      </c>
      <c r="C70" s="5" t="s">
        <v>56</v>
      </c>
      <c r="D70" s="5" t="s">
        <v>35</v>
      </c>
      <c r="E70" s="5" t="s">
        <v>26</v>
      </c>
      <c r="F70" s="5" t="s">
        <v>29</v>
      </c>
      <c r="G70" s="5">
        <v>5</v>
      </c>
      <c r="H70" s="6">
        <v>85</v>
      </c>
      <c r="I70" s="7">
        <v>0</v>
      </c>
      <c r="J70" s="6">
        <f t="shared" si="2"/>
        <v>425</v>
      </c>
    </row>
    <row r="71" spans="1:10" x14ac:dyDescent="0.35">
      <c r="A71" s="2">
        <v>71</v>
      </c>
      <c r="B71" s="14">
        <v>45341</v>
      </c>
      <c r="C71" s="2" t="s">
        <v>56</v>
      </c>
      <c r="D71" s="2" t="s">
        <v>41</v>
      </c>
      <c r="E71" s="2" t="s">
        <v>22</v>
      </c>
      <c r="F71" s="2" t="s">
        <v>23</v>
      </c>
      <c r="G71" s="2">
        <v>5</v>
      </c>
      <c r="H71" s="3">
        <v>65</v>
      </c>
      <c r="I71" s="4">
        <v>0</v>
      </c>
      <c r="J71" s="3">
        <f t="shared" si="2"/>
        <v>325</v>
      </c>
    </row>
    <row r="72" spans="1:10" x14ac:dyDescent="0.35">
      <c r="A72" s="5">
        <v>72</v>
      </c>
      <c r="B72" s="15">
        <v>45395</v>
      </c>
      <c r="C72" s="5" t="s">
        <v>34</v>
      </c>
      <c r="D72" s="5" t="s">
        <v>12</v>
      </c>
      <c r="E72" s="5" t="s">
        <v>13</v>
      </c>
      <c r="F72" s="5" t="s">
        <v>59</v>
      </c>
      <c r="G72" s="5">
        <v>2</v>
      </c>
      <c r="H72" s="6">
        <v>20</v>
      </c>
      <c r="I72" s="7">
        <v>5</v>
      </c>
      <c r="J72" s="6">
        <f t="shared" si="2"/>
        <v>38</v>
      </c>
    </row>
    <row r="73" spans="1:10" x14ac:dyDescent="0.35">
      <c r="A73" s="2">
        <v>73</v>
      </c>
      <c r="B73" s="14">
        <v>45440</v>
      </c>
      <c r="C73" s="2" t="s">
        <v>34</v>
      </c>
      <c r="D73" s="2" t="s">
        <v>35</v>
      </c>
      <c r="E73" s="2" t="s">
        <v>26</v>
      </c>
      <c r="F73" s="2" t="s">
        <v>51</v>
      </c>
      <c r="G73" s="2">
        <v>4</v>
      </c>
      <c r="H73" s="3">
        <v>60</v>
      </c>
      <c r="I73" s="4">
        <v>15</v>
      </c>
      <c r="J73" s="3">
        <f t="shared" si="2"/>
        <v>204</v>
      </c>
    </row>
    <row r="74" spans="1:10" x14ac:dyDescent="0.35">
      <c r="A74" s="5">
        <v>74</v>
      </c>
      <c r="B74" s="15">
        <v>45346</v>
      </c>
      <c r="C74" s="5" t="s">
        <v>34</v>
      </c>
      <c r="D74" s="5" t="s">
        <v>41</v>
      </c>
      <c r="E74" s="5" t="s">
        <v>22</v>
      </c>
      <c r="F74" s="5" t="s">
        <v>72</v>
      </c>
      <c r="G74" s="5">
        <v>3</v>
      </c>
      <c r="H74" s="6">
        <v>80</v>
      </c>
      <c r="I74" s="7">
        <v>10</v>
      </c>
      <c r="J74" s="6">
        <f t="shared" si="2"/>
        <v>216</v>
      </c>
    </row>
    <row r="75" spans="1:10" x14ac:dyDescent="0.35">
      <c r="A75" s="2">
        <v>75</v>
      </c>
      <c r="B75" s="14">
        <v>45461</v>
      </c>
      <c r="C75" s="2" t="s">
        <v>16</v>
      </c>
      <c r="D75" s="2" t="s">
        <v>17</v>
      </c>
      <c r="E75" s="2" t="s">
        <v>13</v>
      </c>
      <c r="F75" s="2" t="s">
        <v>44</v>
      </c>
      <c r="G75" s="2">
        <v>2</v>
      </c>
      <c r="H75" s="3">
        <v>35</v>
      </c>
      <c r="I75" s="4">
        <v>15</v>
      </c>
      <c r="J75" s="3">
        <f t="shared" si="2"/>
        <v>59.5</v>
      </c>
    </row>
    <row r="76" spans="1:10" x14ac:dyDescent="0.35">
      <c r="A76" s="5">
        <v>76</v>
      </c>
      <c r="B76" s="15">
        <v>45371</v>
      </c>
      <c r="C76" s="5" t="s">
        <v>25</v>
      </c>
      <c r="D76" s="5" t="s">
        <v>21</v>
      </c>
      <c r="E76" s="5" t="s">
        <v>22</v>
      </c>
      <c r="F76" s="5" t="s">
        <v>72</v>
      </c>
      <c r="G76" s="5">
        <v>1</v>
      </c>
      <c r="H76" s="6">
        <v>80</v>
      </c>
      <c r="I76" s="7">
        <v>0</v>
      </c>
      <c r="J76" s="6">
        <f t="shared" si="2"/>
        <v>80</v>
      </c>
    </row>
    <row r="77" spans="1:10" x14ac:dyDescent="0.35">
      <c r="A77" s="2">
        <v>77</v>
      </c>
      <c r="B77" s="14">
        <v>45413</v>
      </c>
      <c r="C77" s="2" t="s">
        <v>34</v>
      </c>
      <c r="D77" s="2" t="s">
        <v>12</v>
      </c>
      <c r="E77" s="2" t="s">
        <v>26</v>
      </c>
      <c r="F77" s="2" t="s">
        <v>51</v>
      </c>
      <c r="G77" s="2">
        <v>5</v>
      </c>
      <c r="H77" s="3">
        <v>60</v>
      </c>
      <c r="I77" s="4">
        <v>0</v>
      </c>
      <c r="J77" s="3">
        <f t="shared" si="2"/>
        <v>300</v>
      </c>
    </row>
    <row r="78" spans="1:10" x14ac:dyDescent="0.35">
      <c r="A78" s="5">
        <v>78</v>
      </c>
      <c r="B78" s="15">
        <v>45470</v>
      </c>
      <c r="C78" s="5" t="s">
        <v>56</v>
      </c>
      <c r="D78" s="5" t="s">
        <v>41</v>
      </c>
      <c r="E78" s="5" t="s">
        <v>26</v>
      </c>
      <c r="F78" s="5" t="s">
        <v>27</v>
      </c>
      <c r="G78" s="5">
        <v>2</v>
      </c>
      <c r="H78" s="6">
        <v>120</v>
      </c>
      <c r="I78" s="7">
        <v>15</v>
      </c>
      <c r="J78" s="6">
        <f t="shared" si="2"/>
        <v>204</v>
      </c>
    </row>
    <row r="79" spans="1:10" x14ac:dyDescent="0.35">
      <c r="A79" s="2">
        <v>79</v>
      </c>
      <c r="B79" s="14">
        <v>45468</v>
      </c>
      <c r="C79" s="2" t="s">
        <v>11</v>
      </c>
      <c r="D79" s="2" t="s">
        <v>12</v>
      </c>
      <c r="E79" s="2" t="s">
        <v>26</v>
      </c>
      <c r="F79" s="2" t="s">
        <v>27</v>
      </c>
      <c r="G79" s="2">
        <v>2</v>
      </c>
      <c r="H79" s="3">
        <v>120</v>
      </c>
      <c r="I79" s="4">
        <v>20</v>
      </c>
      <c r="J79" s="3">
        <f t="shared" si="2"/>
        <v>192</v>
      </c>
    </row>
    <row r="80" spans="1:10" x14ac:dyDescent="0.35">
      <c r="A80" s="5">
        <v>80</v>
      </c>
      <c r="B80" s="15">
        <v>45470</v>
      </c>
      <c r="C80" s="5" t="s">
        <v>34</v>
      </c>
      <c r="D80" s="5" t="s">
        <v>41</v>
      </c>
      <c r="E80" s="5" t="s">
        <v>18</v>
      </c>
      <c r="F80" s="5" t="s">
        <v>19</v>
      </c>
      <c r="G80" s="5">
        <v>2</v>
      </c>
      <c r="H80" s="6">
        <v>45</v>
      </c>
      <c r="I80" s="7">
        <v>20</v>
      </c>
      <c r="J80" s="6">
        <f t="shared" si="2"/>
        <v>72</v>
      </c>
    </row>
    <row r="81" spans="1:10" x14ac:dyDescent="0.35">
      <c r="A81" s="2">
        <v>81</v>
      </c>
      <c r="B81" s="14">
        <v>45323</v>
      </c>
      <c r="C81" s="2" t="s">
        <v>56</v>
      </c>
      <c r="D81" s="2" t="s">
        <v>21</v>
      </c>
      <c r="E81" s="2" t="s">
        <v>26</v>
      </c>
      <c r="F81" s="2" t="s">
        <v>57</v>
      </c>
      <c r="G81" s="2">
        <v>5</v>
      </c>
      <c r="H81" s="3">
        <v>150</v>
      </c>
      <c r="I81" s="4">
        <v>10</v>
      </c>
      <c r="J81" s="3">
        <f t="shared" si="2"/>
        <v>675</v>
      </c>
    </row>
    <row r="82" spans="1:10" x14ac:dyDescent="0.35">
      <c r="A82" s="5">
        <v>82</v>
      </c>
      <c r="B82" s="15">
        <v>45373</v>
      </c>
      <c r="C82" s="5" t="s">
        <v>56</v>
      </c>
      <c r="D82" s="5" t="s">
        <v>17</v>
      </c>
      <c r="E82" s="5" t="s">
        <v>26</v>
      </c>
      <c r="F82" s="5" t="s">
        <v>57</v>
      </c>
      <c r="G82" s="5">
        <v>4</v>
      </c>
      <c r="H82" s="6">
        <v>150</v>
      </c>
      <c r="I82" s="7">
        <v>0</v>
      </c>
      <c r="J82" s="6">
        <f t="shared" si="2"/>
        <v>600</v>
      </c>
    </row>
    <row r="83" spans="1:10" x14ac:dyDescent="0.35">
      <c r="A83" s="2">
        <v>83</v>
      </c>
      <c r="B83" s="14">
        <v>45413</v>
      </c>
      <c r="C83" s="2" t="s">
        <v>56</v>
      </c>
      <c r="D83" s="2" t="s">
        <v>35</v>
      </c>
      <c r="E83" s="2" t="s">
        <v>22</v>
      </c>
      <c r="F83" s="2" t="s">
        <v>47</v>
      </c>
      <c r="G83" s="2">
        <v>5</v>
      </c>
      <c r="H83" s="3">
        <v>50</v>
      </c>
      <c r="I83" s="4">
        <v>5</v>
      </c>
      <c r="J83" s="3">
        <f t="shared" si="2"/>
        <v>237.5</v>
      </c>
    </row>
    <row r="84" spans="1:10" x14ac:dyDescent="0.35">
      <c r="A84" s="5">
        <v>84</v>
      </c>
      <c r="B84" s="15">
        <v>45452</v>
      </c>
      <c r="C84" s="5" t="s">
        <v>25</v>
      </c>
      <c r="D84" s="5" t="s">
        <v>35</v>
      </c>
      <c r="E84" s="5" t="s">
        <v>26</v>
      </c>
      <c r="F84" s="5" t="s">
        <v>66</v>
      </c>
      <c r="G84" s="5">
        <v>3</v>
      </c>
      <c r="H84" s="6">
        <v>95</v>
      </c>
      <c r="I84" s="7">
        <v>0</v>
      </c>
      <c r="J84" s="6">
        <f t="shared" si="2"/>
        <v>285</v>
      </c>
    </row>
    <row r="85" spans="1:10" x14ac:dyDescent="0.35">
      <c r="A85" s="2">
        <v>85</v>
      </c>
      <c r="B85" s="14">
        <v>45361</v>
      </c>
      <c r="C85" s="2" t="s">
        <v>31</v>
      </c>
      <c r="D85" s="2" t="s">
        <v>35</v>
      </c>
      <c r="E85" s="2" t="s">
        <v>18</v>
      </c>
      <c r="F85" s="2" t="s">
        <v>39</v>
      </c>
      <c r="G85" s="2">
        <v>2</v>
      </c>
      <c r="H85" s="3">
        <v>55</v>
      </c>
      <c r="I85" s="4">
        <v>0</v>
      </c>
      <c r="J85" s="3">
        <f t="shared" si="2"/>
        <v>110</v>
      </c>
    </row>
    <row r="86" spans="1:10" x14ac:dyDescent="0.35">
      <c r="A86" s="5">
        <v>86</v>
      </c>
      <c r="B86" s="15">
        <v>45390</v>
      </c>
      <c r="C86" s="5" t="s">
        <v>16</v>
      </c>
      <c r="D86" s="5" t="s">
        <v>21</v>
      </c>
      <c r="E86" s="5" t="s">
        <v>22</v>
      </c>
      <c r="F86" s="5" t="s">
        <v>72</v>
      </c>
      <c r="G86" s="5">
        <v>4</v>
      </c>
      <c r="H86" s="6">
        <v>80</v>
      </c>
      <c r="I86" s="7">
        <v>5</v>
      </c>
      <c r="J86" s="6">
        <f t="shared" si="2"/>
        <v>304</v>
      </c>
    </row>
    <row r="87" spans="1:10" x14ac:dyDescent="0.35">
      <c r="A87" s="2">
        <v>87</v>
      </c>
      <c r="B87" s="14">
        <v>45376</v>
      </c>
      <c r="C87" s="2" t="s">
        <v>34</v>
      </c>
      <c r="D87" s="2" t="s">
        <v>41</v>
      </c>
      <c r="E87" s="2" t="s">
        <v>26</v>
      </c>
      <c r="F87" s="2" t="s">
        <v>66</v>
      </c>
      <c r="G87" s="2">
        <v>2</v>
      </c>
      <c r="H87" s="3">
        <v>95</v>
      </c>
      <c r="I87" s="4">
        <v>20</v>
      </c>
      <c r="J87" s="3">
        <f t="shared" si="2"/>
        <v>152</v>
      </c>
    </row>
    <row r="88" spans="1:10" x14ac:dyDescent="0.35">
      <c r="A88" s="5">
        <v>88</v>
      </c>
      <c r="B88" s="15">
        <v>45399</v>
      </c>
      <c r="C88" s="5" t="s">
        <v>56</v>
      </c>
      <c r="D88" s="5" t="s">
        <v>17</v>
      </c>
      <c r="E88" s="5" t="s">
        <v>18</v>
      </c>
      <c r="F88" s="5" t="s">
        <v>19</v>
      </c>
      <c r="G88" s="5">
        <v>4</v>
      </c>
      <c r="H88" s="6">
        <v>45</v>
      </c>
      <c r="I88" s="7">
        <v>5</v>
      </c>
      <c r="J88" s="6">
        <f t="shared" si="2"/>
        <v>171</v>
      </c>
    </row>
    <row r="89" spans="1:10" x14ac:dyDescent="0.35">
      <c r="A89" s="2">
        <v>89</v>
      </c>
      <c r="B89" s="14">
        <v>45293</v>
      </c>
      <c r="C89" s="2" t="s">
        <v>31</v>
      </c>
      <c r="D89" s="2" t="s">
        <v>35</v>
      </c>
      <c r="E89" s="2" t="s">
        <v>26</v>
      </c>
      <c r="F89" s="2" t="s">
        <v>51</v>
      </c>
      <c r="G89" s="2">
        <v>5</v>
      </c>
      <c r="H89" s="3">
        <v>60</v>
      </c>
      <c r="I89" s="4">
        <v>15</v>
      </c>
      <c r="J89" s="3">
        <f t="shared" si="2"/>
        <v>255</v>
      </c>
    </row>
    <row r="90" spans="1:10" x14ac:dyDescent="0.35">
      <c r="A90" s="5">
        <v>90</v>
      </c>
      <c r="B90" s="15">
        <v>45431</v>
      </c>
      <c r="C90" s="5" t="s">
        <v>34</v>
      </c>
      <c r="D90" s="5" t="s">
        <v>21</v>
      </c>
      <c r="E90" s="5" t="s">
        <v>26</v>
      </c>
      <c r="F90" s="5" t="s">
        <v>27</v>
      </c>
      <c r="G90" s="5">
        <v>3</v>
      </c>
      <c r="H90" s="6">
        <v>120</v>
      </c>
      <c r="I90" s="7">
        <v>5</v>
      </c>
      <c r="J90" s="6">
        <f t="shared" si="2"/>
        <v>342</v>
      </c>
    </row>
    <row r="91" spans="1:10" x14ac:dyDescent="0.35">
      <c r="A91" s="2">
        <v>91</v>
      </c>
      <c r="B91" s="14">
        <v>45416</v>
      </c>
      <c r="C91" s="2" t="s">
        <v>11</v>
      </c>
      <c r="D91" s="2" t="s">
        <v>41</v>
      </c>
      <c r="E91" s="2" t="s">
        <v>13</v>
      </c>
      <c r="F91" s="2" t="s">
        <v>42</v>
      </c>
      <c r="G91" s="2">
        <v>2</v>
      </c>
      <c r="H91" s="3">
        <v>90</v>
      </c>
      <c r="I91" s="4">
        <v>20</v>
      </c>
      <c r="J91" s="3">
        <f t="shared" si="2"/>
        <v>144</v>
      </c>
    </row>
    <row r="92" spans="1:10" x14ac:dyDescent="0.35">
      <c r="A92" s="5">
        <v>92</v>
      </c>
      <c r="B92" s="15">
        <v>45411</v>
      </c>
      <c r="C92" s="5" t="s">
        <v>25</v>
      </c>
      <c r="D92" s="5" t="s">
        <v>17</v>
      </c>
      <c r="E92" s="5" t="s">
        <v>18</v>
      </c>
      <c r="F92" s="5" t="s">
        <v>32</v>
      </c>
      <c r="G92" s="5">
        <v>5</v>
      </c>
      <c r="H92" s="6">
        <v>60</v>
      </c>
      <c r="I92" s="7">
        <v>10</v>
      </c>
      <c r="J92" s="6">
        <f t="shared" si="2"/>
        <v>270</v>
      </c>
    </row>
    <row r="93" spans="1:10" x14ac:dyDescent="0.35">
      <c r="A93" s="2">
        <v>93</v>
      </c>
      <c r="B93" s="14">
        <v>45461</v>
      </c>
      <c r="C93" s="2" t="s">
        <v>11</v>
      </c>
      <c r="D93" s="2" t="s">
        <v>12</v>
      </c>
      <c r="E93" s="2" t="s">
        <v>26</v>
      </c>
      <c r="F93" s="2" t="s">
        <v>27</v>
      </c>
      <c r="G93" s="2">
        <v>4</v>
      </c>
      <c r="H93" s="3">
        <v>120</v>
      </c>
      <c r="I93" s="4">
        <v>0</v>
      </c>
      <c r="J93" s="3">
        <f t="shared" si="2"/>
        <v>480</v>
      </c>
    </row>
    <row r="94" spans="1:10" x14ac:dyDescent="0.35">
      <c r="A94" s="5">
        <v>94</v>
      </c>
      <c r="B94" s="15">
        <v>45304</v>
      </c>
      <c r="C94" s="5" t="s">
        <v>31</v>
      </c>
      <c r="D94" s="5" t="s">
        <v>41</v>
      </c>
      <c r="E94" s="5" t="s">
        <v>13</v>
      </c>
      <c r="F94" s="5" t="s">
        <v>14</v>
      </c>
      <c r="G94" s="5">
        <v>4</v>
      </c>
      <c r="H94" s="6">
        <v>30</v>
      </c>
      <c r="I94" s="7">
        <v>0</v>
      </c>
      <c r="J94" s="6">
        <f t="shared" si="2"/>
        <v>120</v>
      </c>
    </row>
    <row r="95" spans="1:10" x14ac:dyDescent="0.35">
      <c r="A95" s="2">
        <v>95</v>
      </c>
      <c r="B95" s="14">
        <v>45378</v>
      </c>
      <c r="C95" s="2" t="s">
        <v>56</v>
      </c>
      <c r="D95" s="2" t="s">
        <v>35</v>
      </c>
      <c r="E95" s="2" t="s">
        <v>26</v>
      </c>
      <c r="F95" s="2" t="s">
        <v>29</v>
      </c>
      <c r="G95" s="2">
        <v>1</v>
      </c>
      <c r="H95" s="3">
        <v>85</v>
      </c>
      <c r="I95" s="4">
        <v>5</v>
      </c>
      <c r="J95" s="3">
        <f t="shared" si="2"/>
        <v>80.75</v>
      </c>
    </row>
    <row r="96" spans="1:10" x14ac:dyDescent="0.35">
      <c r="A96" s="5">
        <v>96</v>
      </c>
      <c r="B96" s="15">
        <v>45296</v>
      </c>
      <c r="C96" s="5" t="s">
        <v>16</v>
      </c>
      <c r="D96" s="5" t="s">
        <v>17</v>
      </c>
      <c r="E96" s="5" t="s">
        <v>18</v>
      </c>
      <c r="F96" s="5" t="s">
        <v>61</v>
      </c>
      <c r="G96" s="5">
        <v>2</v>
      </c>
      <c r="H96" s="6">
        <v>75</v>
      </c>
      <c r="I96" s="7">
        <v>15</v>
      </c>
      <c r="J96" s="6">
        <f t="shared" si="2"/>
        <v>127.5</v>
      </c>
    </row>
    <row r="97" spans="1:10" x14ac:dyDescent="0.35">
      <c r="A97" s="2">
        <v>97</v>
      </c>
      <c r="B97" s="14">
        <v>45309</v>
      </c>
      <c r="C97" s="2" t="s">
        <v>16</v>
      </c>
      <c r="D97" s="2" t="s">
        <v>12</v>
      </c>
      <c r="E97" s="2" t="s">
        <v>18</v>
      </c>
      <c r="F97" s="2" t="s">
        <v>39</v>
      </c>
      <c r="G97" s="2">
        <v>2</v>
      </c>
      <c r="H97" s="3">
        <v>55</v>
      </c>
      <c r="I97" s="4">
        <v>20</v>
      </c>
      <c r="J97" s="3">
        <f t="shared" si="2"/>
        <v>88</v>
      </c>
    </row>
    <row r="98" spans="1:10" x14ac:dyDescent="0.35">
      <c r="A98" s="5">
        <v>98</v>
      </c>
      <c r="B98" s="15">
        <v>45297</v>
      </c>
      <c r="C98" s="5" t="s">
        <v>34</v>
      </c>
      <c r="D98" s="5" t="s">
        <v>21</v>
      </c>
      <c r="E98" s="5" t="s">
        <v>22</v>
      </c>
      <c r="F98" s="5" t="s">
        <v>79</v>
      </c>
      <c r="G98" s="5">
        <v>4</v>
      </c>
      <c r="H98" s="6">
        <v>70</v>
      </c>
      <c r="I98" s="7">
        <v>15</v>
      </c>
      <c r="J98" s="6">
        <f t="shared" ref="J98:J129" si="3">G98*H98*(1-I98/100)</f>
        <v>238</v>
      </c>
    </row>
    <row r="99" spans="1:10" x14ac:dyDescent="0.35">
      <c r="A99" s="5">
        <v>100</v>
      </c>
      <c r="B99" s="15">
        <v>45447</v>
      </c>
      <c r="C99" s="5" t="s">
        <v>34</v>
      </c>
      <c r="D99" s="5" t="s">
        <v>12</v>
      </c>
      <c r="E99" s="5" t="s">
        <v>22</v>
      </c>
      <c r="F99" s="5" t="s">
        <v>47</v>
      </c>
      <c r="G99" s="5">
        <v>1</v>
      </c>
      <c r="H99" s="6">
        <v>50</v>
      </c>
      <c r="I99" s="7">
        <v>10</v>
      </c>
      <c r="J99" s="6">
        <f t="shared" si="3"/>
        <v>45</v>
      </c>
    </row>
    <row r="100" spans="1:10" x14ac:dyDescent="0.35">
      <c r="A100" s="2">
        <v>101</v>
      </c>
      <c r="B100" s="14">
        <v>45298</v>
      </c>
      <c r="C100" s="2" t="s">
        <v>31</v>
      </c>
      <c r="D100" s="2" t="s">
        <v>17</v>
      </c>
      <c r="E100" s="2" t="s">
        <v>26</v>
      </c>
      <c r="F100" s="2" t="s">
        <v>51</v>
      </c>
      <c r="G100" s="2">
        <v>2</v>
      </c>
      <c r="H100" s="3">
        <v>60</v>
      </c>
      <c r="I100" s="4">
        <v>0</v>
      </c>
      <c r="J100" s="3">
        <f t="shared" si="3"/>
        <v>120</v>
      </c>
    </row>
    <row r="101" spans="1:10" x14ac:dyDescent="0.35">
      <c r="A101" s="5">
        <v>102</v>
      </c>
      <c r="B101" s="15">
        <v>45443</v>
      </c>
      <c r="C101" s="5" t="s">
        <v>16</v>
      </c>
      <c r="D101" s="5" t="s">
        <v>21</v>
      </c>
      <c r="E101" s="5" t="s">
        <v>18</v>
      </c>
      <c r="F101" s="5" t="s">
        <v>61</v>
      </c>
      <c r="G101" s="5">
        <v>5</v>
      </c>
      <c r="H101" s="6">
        <v>75</v>
      </c>
      <c r="I101" s="7">
        <v>20</v>
      </c>
      <c r="J101" s="6">
        <f t="shared" si="3"/>
        <v>300</v>
      </c>
    </row>
    <row r="102" spans="1:10" x14ac:dyDescent="0.35">
      <c r="A102" s="2">
        <v>103</v>
      </c>
      <c r="B102" s="14">
        <v>45322</v>
      </c>
      <c r="C102" s="2" t="s">
        <v>34</v>
      </c>
      <c r="D102" s="2" t="s">
        <v>12</v>
      </c>
      <c r="E102" s="2" t="s">
        <v>13</v>
      </c>
      <c r="F102" s="2" t="s">
        <v>37</v>
      </c>
      <c r="G102" s="2">
        <v>4</v>
      </c>
      <c r="H102" s="3">
        <v>45</v>
      </c>
      <c r="I102" s="4">
        <v>15</v>
      </c>
      <c r="J102" s="3">
        <f t="shared" si="3"/>
        <v>153</v>
      </c>
    </row>
    <row r="103" spans="1:10" x14ac:dyDescent="0.35">
      <c r="A103" s="5">
        <v>104</v>
      </c>
      <c r="B103" s="15">
        <v>45386</v>
      </c>
      <c r="C103" s="5" t="s">
        <v>11</v>
      </c>
      <c r="D103" s="5" t="s">
        <v>17</v>
      </c>
      <c r="E103" s="5" t="s">
        <v>13</v>
      </c>
      <c r="F103" s="5" t="s">
        <v>44</v>
      </c>
      <c r="G103" s="5">
        <v>4</v>
      </c>
      <c r="H103" s="6">
        <v>35</v>
      </c>
      <c r="I103" s="7">
        <v>20</v>
      </c>
      <c r="J103" s="6">
        <f t="shared" si="3"/>
        <v>112</v>
      </c>
    </row>
    <row r="104" spans="1:10" x14ac:dyDescent="0.35">
      <c r="A104" s="2">
        <v>105</v>
      </c>
      <c r="B104" s="14">
        <v>45417</v>
      </c>
      <c r="C104" s="2" t="s">
        <v>11</v>
      </c>
      <c r="D104" s="2" t="s">
        <v>41</v>
      </c>
      <c r="E104" s="2" t="s">
        <v>13</v>
      </c>
      <c r="F104" s="2" t="s">
        <v>42</v>
      </c>
      <c r="G104" s="2">
        <v>2</v>
      </c>
      <c r="H104" s="3">
        <v>90</v>
      </c>
      <c r="I104" s="4">
        <v>5</v>
      </c>
      <c r="J104" s="3">
        <f t="shared" si="3"/>
        <v>171</v>
      </c>
    </row>
    <row r="105" spans="1:10" x14ac:dyDescent="0.35">
      <c r="A105" s="5">
        <v>106</v>
      </c>
      <c r="B105" s="15">
        <v>45337</v>
      </c>
      <c r="C105" s="5" t="s">
        <v>16</v>
      </c>
      <c r="D105" s="5" t="s">
        <v>17</v>
      </c>
      <c r="E105" s="5" t="s">
        <v>13</v>
      </c>
      <c r="F105" s="5" t="s">
        <v>37</v>
      </c>
      <c r="G105" s="5">
        <v>5</v>
      </c>
      <c r="H105" s="6">
        <v>45</v>
      </c>
      <c r="I105" s="7">
        <v>20</v>
      </c>
      <c r="J105" s="6">
        <f t="shared" si="3"/>
        <v>180</v>
      </c>
    </row>
    <row r="106" spans="1:10" x14ac:dyDescent="0.35">
      <c r="A106" s="2">
        <v>107</v>
      </c>
      <c r="B106" s="14">
        <v>45415</v>
      </c>
      <c r="C106" s="2" t="s">
        <v>56</v>
      </c>
      <c r="D106" s="2" t="s">
        <v>41</v>
      </c>
      <c r="E106" s="2" t="s">
        <v>13</v>
      </c>
      <c r="F106" s="2" t="s">
        <v>59</v>
      </c>
      <c r="G106" s="2">
        <v>2</v>
      </c>
      <c r="H106" s="3">
        <v>20</v>
      </c>
      <c r="I106" s="4">
        <v>20</v>
      </c>
      <c r="J106" s="3">
        <f t="shared" si="3"/>
        <v>32</v>
      </c>
    </row>
    <row r="107" spans="1:10" x14ac:dyDescent="0.35">
      <c r="A107" s="5">
        <v>108</v>
      </c>
      <c r="B107" s="15">
        <v>45314</v>
      </c>
      <c r="C107" s="5" t="s">
        <v>31</v>
      </c>
      <c r="D107" s="5" t="s">
        <v>41</v>
      </c>
      <c r="E107" s="5" t="s">
        <v>22</v>
      </c>
      <c r="F107" s="5" t="s">
        <v>46</v>
      </c>
      <c r="G107" s="5">
        <v>5</v>
      </c>
      <c r="H107" s="6">
        <v>40</v>
      </c>
      <c r="I107" s="7">
        <v>10</v>
      </c>
      <c r="J107" s="6">
        <f t="shared" si="3"/>
        <v>180</v>
      </c>
    </row>
    <row r="108" spans="1:10" x14ac:dyDescent="0.35">
      <c r="A108" s="2">
        <v>109</v>
      </c>
      <c r="B108" s="14">
        <v>45463</v>
      </c>
      <c r="C108" s="2" t="s">
        <v>56</v>
      </c>
      <c r="D108" s="2" t="s">
        <v>35</v>
      </c>
      <c r="E108" s="2" t="s">
        <v>18</v>
      </c>
      <c r="F108" s="2" t="s">
        <v>32</v>
      </c>
      <c r="G108" s="2">
        <v>3</v>
      </c>
      <c r="H108" s="3">
        <v>60</v>
      </c>
      <c r="I108" s="4">
        <v>0</v>
      </c>
      <c r="J108" s="3">
        <f t="shared" si="3"/>
        <v>180</v>
      </c>
    </row>
    <row r="109" spans="1:10" x14ac:dyDescent="0.35">
      <c r="A109" s="5">
        <v>110</v>
      </c>
      <c r="B109" s="15">
        <v>45416</v>
      </c>
      <c r="C109" s="5" t="s">
        <v>25</v>
      </c>
      <c r="D109" s="5" t="s">
        <v>35</v>
      </c>
      <c r="E109" s="5" t="s">
        <v>13</v>
      </c>
      <c r="F109" s="5" t="s">
        <v>59</v>
      </c>
      <c r="G109" s="5">
        <v>3</v>
      </c>
      <c r="H109" s="6">
        <v>20</v>
      </c>
      <c r="I109" s="7">
        <v>10</v>
      </c>
      <c r="J109" s="6">
        <f t="shared" si="3"/>
        <v>54</v>
      </c>
    </row>
    <row r="110" spans="1:10" x14ac:dyDescent="0.35">
      <c r="A110" s="2">
        <v>111</v>
      </c>
      <c r="B110" s="14">
        <v>45471</v>
      </c>
      <c r="C110" s="2" t="s">
        <v>31</v>
      </c>
      <c r="D110" s="2" t="s">
        <v>17</v>
      </c>
      <c r="E110" s="2" t="s">
        <v>18</v>
      </c>
      <c r="F110" s="2" t="s">
        <v>19</v>
      </c>
      <c r="G110" s="2">
        <v>2</v>
      </c>
      <c r="H110" s="3">
        <v>45</v>
      </c>
      <c r="I110" s="4">
        <v>0</v>
      </c>
      <c r="J110" s="3">
        <f t="shared" si="3"/>
        <v>90</v>
      </c>
    </row>
    <row r="111" spans="1:10" x14ac:dyDescent="0.35">
      <c r="A111" s="5">
        <v>112</v>
      </c>
      <c r="B111" s="15">
        <v>45353</v>
      </c>
      <c r="C111" s="5" t="s">
        <v>16</v>
      </c>
      <c r="D111" s="5" t="s">
        <v>41</v>
      </c>
      <c r="E111" s="5" t="s">
        <v>26</v>
      </c>
      <c r="F111" s="5" t="s">
        <v>57</v>
      </c>
      <c r="G111" s="5">
        <v>2</v>
      </c>
      <c r="H111" s="6">
        <v>150</v>
      </c>
      <c r="I111" s="7">
        <v>15</v>
      </c>
      <c r="J111" s="6">
        <f t="shared" si="3"/>
        <v>255</v>
      </c>
    </row>
    <row r="112" spans="1:10" x14ac:dyDescent="0.35">
      <c r="A112" s="2">
        <v>113</v>
      </c>
      <c r="B112" s="14">
        <v>45413</v>
      </c>
      <c r="C112" s="2" t="s">
        <v>16</v>
      </c>
      <c r="D112" s="2" t="s">
        <v>41</v>
      </c>
      <c r="E112" s="2" t="s">
        <v>26</v>
      </c>
      <c r="F112" s="2" t="s">
        <v>66</v>
      </c>
      <c r="G112" s="2">
        <v>1</v>
      </c>
      <c r="H112" s="3">
        <v>95</v>
      </c>
      <c r="I112" s="4">
        <v>0</v>
      </c>
      <c r="J112" s="3">
        <f t="shared" si="3"/>
        <v>95</v>
      </c>
    </row>
    <row r="113" spans="1:10" x14ac:dyDescent="0.35">
      <c r="A113" s="5">
        <v>114</v>
      </c>
      <c r="B113" s="15">
        <v>45348</v>
      </c>
      <c r="C113" s="5" t="s">
        <v>56</v>
      </c>
      <c r="D113" s="5" t="s">
        <v>21</v>
      </c>
      <c r="E113" s="5" t="s">
        <v>13</v>
      </c>
      <c r="F113" s="5" t="s">
        <v>37</v>
      </c>
      <c r="G113" s="5">
        <v>3</v>
      </c>
      <c r="H113" s="6">
        <v>45</v>
      </c>
      <c r="I113" s="7">
        <v>5</v>
      </c>
      <c r="J113" s="6">
        <f t="shared" si="3"/>
        <v>128.25</v>
      </c>
    </row>
    <row r="114" spans="1:10" x14ac:dyDescent="0.35">
      <c r="A114" s="2">
        <v>115</v>
      </c>
      <c r="B114" s="14">
        <v>45433</v>
      </c>
      <c r="C114" s="2" t="s">
        <v>34</v>
      </c>
      <c r="D114" s="2" t="s">
        <v>35</v>
      </c>
      <c r="E114" s="2" t="s">
        <v>26</v>
      </c>
      <c r="F114" s="2" t="s">
        <v>57</v>
      </c>
      <c r="G114" s="2">
        <v>3</v>
      </c>
      <c r="H114" s="3">
        <v>150</v>
      </c>
      <c r="I114" s="4">
        <v>0</v>
      </c>
      <c r="J114" s="3">
        <f t="shared" si="3"/>
        <v>450</v>
      </c>
    </row>
    <row r="115" spans="1:10" x14ac:dyDescent="0.35">
      <c r="A115" s="5">
        <v>116</v>
      </c>
      <c r="B115" s="15">
        <v>45471</v>
      </c>
      <c r="C115" s="5" t="s">
        <v>56</v>
      </c>
      <c r="D115" s="5" t="s">
        <v>35</v>
      </c>
      <c r="E115" s="5" t="s">
        <v>13</v>
      </c>
      <c r="F115" s="5" t="s">
        <v>59</v>
      </c>
      <c r="G115" s="5">
        <v>2</v>
      </c>
      <c r="H115" s="6">
        <v>20</v>
      </c>
      <c r="I115" s="7">
        <v>0</v>
      </c>
      <c r="J115" s="6">
        <f t="shared" si="3"/>
        <v>40</v>
      </c>
    </row>
    <row r="116" spans="1:10" x14ac:dyDescent="0.35">
      <c r="A116" s="2">
        <v>117</v>
      </c>
      <c r="B116" s="14">
        <v>45341</v>
      </c>
      <c r="C116" s="2" t="s">
        <v>31</v>
      </c>
      <c r="D116" s="2" t="s">
        <v>12</v>
      </c>
      <c r="E116" s="2" t="s">
        <v>22</v>
      </c>
      <c r="F116" s="2" t="s">
        <v>79</v>
      </c>
      <c r="G116" s="2">
        <v>2</v>
      </c>
      <c r="H116" s="3">
        <v>70</v>
      </c>
      <c r="I116" s="4">
        <v>15</v>
      </c>
      <c r="J116" s="3">
        <f t="shared" si="3"/>
        <v>119</v>
      </c>
    </row>
    <row r="117" spans="1:10" x14ac:dyDescent="0.35">
      <c r="A117" s="5">
        <v>118</v>
      </c>
      <c r="B117" s="15">
        <v>45415</v>
      </c>
      <c r="C117" s="5" t="s">
        <v>31</v>
      </c>
      <c r="D117" s="5" t="s">
        <v>17</v>
      </c>
      <c r="E117" s="5" t="s">
        <v>13</v>
      </c>
      <c r="F117" s="5" t="s">
        <v>44</v>
      </c>
      <c r="G117" s="5">
        <v>2</v>
      </c>
      <c r="H117" s="6">
        <v>35</v>
      </c>
      <c r="I117" s="7">
        <v>0</v>
      </c>
      <c r="J117" s="6">
        <f t="shared" si="3"/>
        <v>70</v>
      </c>
    </row>
    <row r="118" spans="1:10" x14ac:dyDescent="0.35">
      <c r="A118" s="2">
        <v>119</v>
      </c>
      <c r="B118" s="14">
        <v>45350</v>
      </c>
      <c r="C118" s="2" t="s">
        <v>31</v>
      </c>
      <c r="D118" s="2" t="s">
        <v>21</v>
      </c>
      <c r="E118" s="2" t="s">
        <v>13</v>
      </c>
      <c r="F118" s="2" t="s">
        <v>44</v>
      </c>
      <c r="G118" s="2">
        <v>5</v>
      </c>
      <c r="H118" s="3">
        <v>35</v>
      </c>
      <c r="I118" s="4">
        <v>0</v>
      </c>
      <c r="J118" s="3">
        <f t="shared" si="3"/>
        <v>175</v>
      </c>
    </row>
    <row r="119" spans="1:10" x14ac:dyDescent="0.35">
      <c r="A119" s="5">
        <v>120</v>
      </c>
      <c r="B119" s="15">
        <v>45362</v>
      </c>
      <c r="C119" s="5" t="s">
        <v>11</v>
      </c>
      <c r="D119" s="5" t="s">
        <v>12</v>
      </c>
      <c r="E119" s="5" t="s">
        <v>13</v>
      </c>
      <c r="F119" s="5" t="s">
        <v>14</v>
      </c>
      <c r="G119" s="5">
        <v>4</v>
      </c>
      <c r="H119" s="6">
        <v>30</v>
      </c>
      <c r="I119" s="7">
        <v>0</v>
      </c>
      <c r="J119" s="6">
        <f t="shared" si="3"/>
        <v>120</v>
      </c>
    </row>
    <row r="120" spans="1:10" x14ac:dyDescent="0.35">
      <c r="A120" s="2">
        <v>121</v>
      </c>
      <c r="B120" s="14">
        <v>45295</v>
      </c>
      <c r="C120" s="2" t="s">
        <v>34</v>
      </c>
      <c r="D120" s="2" t="s">
        <v>35</v>
      </c>
      <c r="E120" s="2" t="s">
        <v>26</v>
      </c>
      <c r="F120" s="2" t="s">
        <v>51</v>
      </c>
      <c r="G120" s="2">
        <v>4</v>
      </c>
      <c r="H120" s="3">
        <v>60</v>
      </c>
      <c r="I120" s="4">
        <v>0</v>
      </c>
      <c r="J120" s="3">
        <f t="shared" si="3"/>
        <v>240</v>
      </c>
    </row>
    <row r="121" spans="1:10" x14ac:dyDescent="0.35">
      <c r="A121" s="5">
        <v>122</v>
      </c>
      <c r="B121" s="15">
        <v>45339</v>
      </c>
      <c r="C121" s="5" t="s">
        <v>11</v>
      </c>
      <c r="D121" s="5" t="s">
        <v>35</v>
      </c>
      <c r="E121" s="5" t="s">
        <v>26</v>
      </c>
      <c r="F121" s="5" t="s">
        <v>66</v>
      </c>
      <c r="G121" s="5">
        <v>1</v>
      </c>
      <c r="H121" s="6">
        <v>95</v>
      </c>
      <c r="I121" s="7">
        <v>5</v>
      </c>
      <c r="J121" s="6">
        <f t="shared" si="3"/>
        <v>90.25</v>
      </c>
    </row>
    <row r="122" spans="1:10" x14ac:dyDescent="0.35">
      <c r="A122" s="2">
        <v>123</v>
      </c>
      <c r="B122" s="14">
        <v>45417</v>
      </c>
      <c r="C122" s="2" t="s">
        <v>11</v>
      </c>
      <c r="D122" s="2" t="s">
        <v>17</v>
      </c>
      <c r="E122" s="2" t="s">
        <v>18</v>
      </c>
      <c r="F122" s="2" t="s">
        <v>39</v>
      </c>
      <c r="G122" s="2">
        <v>2</v>
      </c>
      <c r="H122" s="3">
        <v>55</v>
      </c>
      <c r="I122" s="4">
        <v>20</v>
      </c>
      <c r="J122" s="3">
        <f t="shared" si="3"/>
        <v>88</v>
      </c>
    </row>
    <row r="123" spans="1:10" x14ac:dyDescent="0.35">
      <c r="A123" s="5">
        <v>124</v>
      </c>
      <c r="B123" s="15">
        <v>45436</v>
      </c>
      <c r="C123" s="5" t="s">
        <v>31</v>
      </c>
      <c r="D123" s="5" t="s">
        <v>12</v>
      </c>
      <c r="E123" s="5" t="s">
        <v>22</v>
      </c>
      <c r="F123" s="5" t="s">
        <v>72</v>
      </c>
      <c r="G123" s="5">
        <v>5</v>
      </c>
      <c r="H123" s="6">
        <v>80</v>
      </c>
      <c r="I123" s="7">
        <v>20</v>
      </c>
      <c r="J123" s="6">
        <f t="shared" si="3"/>
        <v>320</v>
      </c>
    </row>
    <row r="124" spans="1:10" x14ac:dyDescent="0.35">
      <c r="A124" s="2">
        <v>125</v>
      </c>
      <c r="B124" s="14">
        <v>45398</v>
      </c>
      <c r="C124" s="2" t="s">
        <v>34</v>
      </c>
      <c r="D124" s="2" t="s">
        <v>17</v>
      </c>
      <c r="E124" s="2" t="s">
        <v>22</v>
      </c>
      <c r="F124" s="2" t="s">
        <v>23</v>
      </c>
      <c r="G124" s="2">
        <v>4</v>
      </c>
      <c r="H124" s="3">
        <v>65</v>
      </c>
      <c r="I124" s="4">
        <v>5</v>
      </c>
      <c r="J124" s="3">
        <f t="shared" si="3"/>
        <v>247</v>
      </c>
    </row>
    <row r="125" spans="1:10" x14ac:dyDescent="0.35">
      <c r="A125" s="5">
        <v>126</v>
      </c>
      <c r="B125" s="15">
        <v>45405</v>
      </c>
      <c r="C125" s="5" t="s">
        <v>31</v>
      </c>
      <c r="D125" s="5" t="s">
        <v>17</v>
      </c>
      <c r="E125" s="5" t="s">
        <v>26</v>
      </c>
      <c r="F125" s="5" t="s">
        <v>29</v>
      </c>
      <c r="G125" s="5">
        <v>5</v>
      </c>
      <c r="H125" s="6">
        <v>85</v>
      </c>
      <c r="I125" s="7">
        <v>10</v>
      </c>
      <c r="J125" s="6">
        <f t="shared" si="3"/>
        <v>382.5</v>
      </c>
    </row>
    <row r="126" spans="1:10" x14ac:dyDescent="0.35">
      <c r="A126" s="2">
        <v>127</v>
      </c>
      <c r="B126" s="14">
        <v>45307</v>
      </c>
      <c r="C126" s="2" t="s">
        <v>34</v>
      </c>
      <c r="D126" s="2" t="s">
        <v>12</v>
      </c>
      <c r="E126" s="2" t="s">
        <v>22</v>
      </c>
      <c r="F126" s="2" t="s">
        <v>79</v>
      </c>
      <c r="G126" s="2">
        <v>3</v>
      </c>
      <c r="H126" s="3">
        <v>70</v>
      </c>
      <c r="I126" s="4">
        <v>15</v>
      </c>
      <c r="J126" s="3">
        <f t="shared" si="3"/>
        <v>178.5</v>
      </c>
    </row>
    <row r="127" spans="1:10" x14ac:dyDescent="0.35">
      <c r="A127" s="5">
        <v>128</v>
      </c>
      <c r="B127" s="15">
        <v>45312</v>
      </c>
      <c r="C127" s="5" t="s">
        <v>25</v>
      </c>
      <c r="D127" s="5" t="s">
        <v>21</v>
      </c>
      <c r="E127" s="5" t="s">
        <v>22</v>
      </c>
      <c r="F127" s="5" t="s">
        <v>23</v>
      </c>
      <c r="G127" s="5">
        <v>1</v>
      </c>
      <c r="H127" s="6">
        <v>65</v>
      </c>
      <c r="I127" s="7">
        <v>0</v>
      </c>
      <c r="J127" s="6">
        <f t="shared" si="3"/>
        <v>65</v>
      </c>
    </row>
    <row r="128" spans="1:10" x14ac:dyDescent="0.35">
      <c r="A128" s="2">
        <v>129</v>
      </c>
      <c r="B128" s="14">
        <v>45292</v>
      </c>
      <c r="C128" s="2" t="s">
        <v>56</v>
      </c>
      <c r="D128" s="2" t="s">
        <v>41</v>
      </c>
      <c r="E128" s="2" t="s">
        <v>26</v>
      </c>
      <c r="F128" s="2" t="s">
        <v>29</v>
      </c>
      <c r="G128" s="2">
        <v>1</v>
      </c>
      <c r="H128" s="3">
        <v>85</v>
      </c>
      <c r="I128" s="4">
        <v>0</v>
      </c>
      <c r="J128" s="3">
        <f t="shared" si="3"/>
        <v>85</v>
      </c>
    </row>
    <row r="129" spans="1:10" x14ac:dyDescent="0.35">
      <c r="A129" s="5">
        <v>130</v>
      </c>
      <c r="B129" s="15">
        <v>45365</v>
      </c>
      <c r="C129" s="5" t="s">
        <v>16</v>
      </c>
      <c r="D129" s="5" t="s">
        <v>35</v>
      </c>
      <c r="E129" s="5" t="s">
        <v>26</v>
      </c>
      <c r="F129" s="5" t="s">
        <v>66</v>
      </c>
      <c r="G129" s="5">
        <v>2</v>
      </c>
      <c r="H129" s="6">
        <v>95</v>
      </c>
      <c r="I129" s="7">
        <v>0</v>
      </c>
      <c r="J129" s="6">
        <f t="shared" si="3"/>
        <v>190</v>
      </c>
    </row>
    <row r="130" spans="1:10" x14ac:dyDescent="0.35">
      <c r="A130" s="2">
        <v>131</v>
      </c>
      <c r="B130" s="14">
        <v>45452</v>
      </c>
      <c r="C130" s="2" t="s">
        <v>34</v>
      </c>
      <c r="D130" s="2" t="s">
        <v>21</v>
      </c>
      <c r="E130" s="2" t="s">
        <v>26</v>
      </c>
      <c r="F130" s="2" t="s">
        <v>66</v>
      </c>
      <c r="G130" s="2">
        <v>5</v>
      </c>
      <c r="H130" s="3">
        <v>95</v>
      </c>
      <c r="I130" s="4">
        <v>0</v>
      </c>
      <c r="J130" s="3">
        <f t="shared" ref="J130:J161" si="4">G130*H130*(1-I130/100)</f>
        <v>475</v>
      </c>
    </row>
    <row r="131" spans="1:10" x14ac:dyDescent="0.35">
      <c r="A131" s="5">
        <v>132</v>
      </c>
      <c r="B131" s="15">
        <v>45457</v>
      </c>
      <c r="C131" s="5" t="s">
        <v>25</v>
      </c>
      <c r="D131" s="5" t="s">
        <v>35</v>
      </c>
      <c r="E131" s="5" t="s">
        <v>22</v>
      </c>
      <c r="F131" s="5" t="s">
        <v>72</v>
      </c>
      <c r="G131" s="5">
        <v>1</v>
      </c>
      <c r="H131" s="6">
        <v>80</v>
      </c>
      <c r="I131" s="7">
        <v>0</v>
      </c>
      <c r="J131" s="6">
        <f t="shared" si="4"/>
        <v>80</v>
      </c>
    </row>
    <row r="132" spans="1:10" x14ac:dyDescent="0.35">
      <c r="A132" s="2">
        <v>133</v>
      </c>
      <c r="B132" s="14">
        <v>45370</v>
      </c>
      <c r="C132" s="2" t="s">
        <v>34</v>
      </c>
      <c r="D132" s="2" t="s">
        <v>17</v>
      </c>
      <c r="E132" s="2" t="s">
        <v>13</v>
      </c>
      <c r="F132" s="2" t="s">
        <v>42</v>
      </c>
      <c r="G132" s="2">
        <v>1</v>
      </c>
      <c r="H132" s="3">
        <v>90</v>
      </c>
      <c r="I132" s="4">
        <v>5</v>
      </c>
      <c r="J132" s="3">
        <f t="shared" si="4"/>
        <v>85.5</v>
      </c>
    </row>
    <row r="133" spans="1:10" x14ac:dyDescent="0.35">
      <c r="A133" s="5">
        <v>134</v>
      </c>
      <c r="B133" s="15">
        <v>45468</v>
      </c>
      <c r="C133" s="5" t="s">
        <v>31</v>
      </c>
      <c r="D133" s="5" t="s">
        <v>41</v>
      </c>
      <c r="E133" s="5" t="s">
        <v>13</v>
      </c>
      <c r="F133" s="5" t="s">
        <v>37</v>
      </c>
      <c r="G133" s="5">
        <v>5</v>
      </c>
      <c r="H133" s="6">
        <v>45</v>
      </c>
      <c r="I133" s="7">
        <v>5</v>
      </c>
      <c r="J133" s="6">
        <f t="shared" si="4"/>
        <v>213.75</v>
      </c>
    </row>
    <row r="134" spans="1:10" x14ac:dyDescent="0.35">
      <c r="A134" s="2">
        <v>135</v>
      </c>
      <c r="B134" s="14">
        <v>45404</v>
      </c>
      <c r="C134" s="2" t="s">
        <v>11</v>
      </c>
      <c r="D134" s="2" t="s">
        <v>17</v>
      </c>
      <c r="E134" s="2" t="s">
        <v>18</v>
      </c>
      <c r="F134" s="2" t="s">
        <v>32</v>
      </c>
      <c r="G134" s="2">
        <v>3</v>
      </c>
      <c r="H134" s="3">
        <v>60</v>
      </c>
      <c r="I134" s="4">
        <v>10</v>
      </c>
      <c r="J134" s="3">
        <f t="shared" si="4"/>
        <v>162</v>
      </c>
    </row>
    <row r="135" spans="1:10" x14ac:dyDescent="0.35">
      <c r="A135" s="5">
        <v>136</v>
      </c>
      <c r="B135" s="15">
        <v>45356</v>
      </c>
      <c r="C135" s="5" t="s">
        <v>11</v>
      </c>
      <c r="D135" s="5" t="s">
        <v>12</v>
      </c>
      <c r="E135" s="5" t="s">
        <v>22</v>
      </c>
      <c r="F135" s="5" t="s">
        <v>23</v>
      </c>
      <c r="G135" s="5">
        <v>5</v>
      </c>
      <c r="H135" s="6">
        <v>65</v>
      </c>
      <c r="I135" s="7">
        <v>0</v>
      </c>
      <c r="J135" s="6">
        <f t="shared" si="4"/>
        <v>325</v>
      </c>
    </row>
    <row r="136" spans="1:10" x14ac:dyDescent="0.35">
      <c r="A136" s="2">
        <v>137</v>
      </c>
      <c r="B136" s="14">
        <v>45464</v>
      </c>
      <c r="C136" s="2" t="s">
        <v>31</v>
      </c>
      <c r="D136" s="2" t="s">
        <v>17</v>
      </c>
      <c r="E136" s="2" t="s">
        <v>18</v>
      </c>
      <c r="F136" s="2" t="s">
        <v>39</v>
      </c>
      <c r="G136" s="2">
        <v>4</v>
      </c>
      <c r="H136" s="3">
        <v>55</v>
      </c>
      <c r="I136" s="4">
        <v>10</v>
      </c>
      <c r="J136" s="3">
        <f t="shared" si="4"/>
        <v>198</v>
      </c>
    </row>
    <row r="137" spans="1:10" x14ac:dyDescent="0.35">
      <c r="A137" s="5">
        <v>138</v>
      </c>
      <c r="B137" s="15">
        <v>45458</v>
      </c>
      <c r="C137" s="5" t="s">
        <v>56</v>
      </c>
      <c r="D137" s="5" t="s">
        <v>35</v>
      </c>
      <c r="E137" s="5" t="s">
        <v>22</v>
      </c>
      <c r="F137" s="5" t="s">
        <v>23</v>
      </c>
      <c r="G137" s="5">
        <v>4</v>
      </c>
      <c r="H137" s="6">
        <v>65</v>
      </c>
      <c r="I137" s="7">
        <v>15</v>
      </c>
      <c r="J137" s="6">
        <f t="shared" si="4"/>
        <v>221</v>
      </c>
    </row>
    <row r="138" spans="1:10" x14ac:dyDescent="0.35">
      <c r="A138" s="2">
        <v>139</v>
      </c>
      <c r="B138" s="14">
        <v>45417</v>
      </c>
      <c r="C138" s="2" t="s">
        <v>11</v>
      </c>
      <c r="D138" s="2" t="s">
        <v>41</v>
      </c>
      <c r="E138" s="2" t="s">
        <v>13</v>
      </c>
      <c r="F138" s="2" t="s">
        <v>42</v>
      </c>
      <c r="G138" s="2">
        <v>3</v>
      </c>
      <c r="H138" s="3">
        <v>90</v>
      </c>
      <c r="I138" s="4">
        <v>0</v>
      </c>
      <c r="J138" s="3">
        <f t="shared" si="4"/>
        <v>270</v>
      </c>
    </row>
    <row r="139" spans="1:10" x14ac:dyDescent="0.35">
      <c r="A139" s="5">
        <v>140</v>
      </c>
      <c r="B139" s="15">
        <v>45463</v>
      </c>
      <c r="C139" s="5" t="s">
        <v>11</v>
      </c>
      <c r="D139" s="5" t="s">
        <v>21</v>
      </c>
      <c r="E139" s="5" t="s">
        <v>13</v>
      </c>
      <c r="F139" s="5" t="s">
        <v>42</v>
      </c>
      <c r="G139" s="5">
        <v>4</v>
      </c>
      <c r="H139" s="6">
        <v>90</v>
      </c>
      <c r="I139" s="7">
        <v>0</v>
      </c>
      <c r="J139" s="6">
        <f t="shared" si="4"/>
        <v>360</v>
      </c>
    </row>
    <row r="140" spans="1:10" x14ac:dyDescent="0.35">
      <c r="A140" s="2">
        <v>141</v>
      </c>
      <c r="B140" s="14">
        <v>45461</v>
      </c>
      <c r="C140" s="2" t="s">
        <v>56</v>
      </c>
      <c r="D140" s="2" t="s">
        <v>17</v>
      </c>
      <c r="E140" s="2" t="s">
        <v>18</v>
      </c>
      <c r="F140" s="2" t="s">
        <v>32</v>
      </c>
      <c r="G140" s="2">
        <v>1</v>
      </c>
      <c r="H140" s="3">
        <v>60</v>
      </c>
      <c r="I140" s="4">
        <v>0</v>
      </c>
      <c r="J140" s="3">
        <f t="shared" si="4"/>
        <v>60</v>
      </c>
    </row>
    <row r="141" spans="1:10" x14ac:dyDescent="0.35">
      <c r="A141" s="5">
        <v>142</v>
      </c>
      <c r="B141" s="15">
        <v>45356</v>
      </c>
      <c r="C141" s="5" t="s">
        <v>31</v>
      </c>
      <c r="D141" s="5" t="s">
        <v>12</v>
      </c>
      <c r="E141" s="5" t="s">
        <v>26</v>
      </c>
      <c r="F141" s="5" t="s">
        <v>57</v>
      </c>
      <c r="G141" s="5">
        <v>1</v>
      </c>
      <c r="H141" s="6">
        <v>150</v>
      </c>
      <c r="I141" s="7">
        <v>15</v>
      </c>
      <c r="J141" s="6">
        <f t="shared" si="4"/>
        <v>127.5</v>
      </c>
    </row>
    <row r="142" spans="1:10" x14ac:dyDescent="0.35">
      <c r="A142" s="2">
        <v>143</v>
      </c>
      <c r="B142" s="14">
        <v>45430</v>
      </c>
      <c r="C142" s="2" t="s">
        <v>56</v>
      </c>
      <c r="D142" s="2" t="s">
        <v>41</v>
      </c>
      <c r="E142" s="2" t="s">
        <v>18</v>
      </c>
      <c r="F142" s="2" t="s">
        <v>39</v>
      </c>
      <c r="G142" s="2">
        <v>5</v>
      </c>
      <c r="H142" s="3">
        <v>55</v>
      </c>
      <c r="I142" s="4">
        <v>0</v>
      </c>
      <c r="J142" s="3">
        <f t="shared" si="4"/>
        <v>275</v>
      </c>
    </row>
    <row r="143" spans="1:10" x14ac:dyDescent="0.35">
      <c r="A143" s="5">
        <v>144</v>
      </c>
      <c r="B143" s="15">
        <v>45451</v>
      </c>
      <c r="C143" s="5" t="s">
        <v>56</v>
      </c>
      <c r="D143" s="5" t="s">
        <v>41</v>
      </c>
      <c r="E143" s="5" t="s">
        <v>18</v>
      </c>
      <c r="F143" s="5" t="s">
        <v>39</v>
      </c>
      <c r="G143" s="5">
        <v>3</v>
      </c>
      <c r="H143" s="6">
        <v>55</v>
      </c>
      <c r="I143" s="7">
        <v>10</v>
      </c>
      <c r="J143" s="6">
        <f t="shared" si="4"/>
        <v>148.5</v>
      </c>
    </row>
    <row r="144" spans="1:10" x14ac:dyDescent="0.35">
      <c r="A144" s="2">
        <v>145</v>
      </c>
      <c r="B144" s="14">
        <v>45325</v>
      </c>
      <c r="C144" s="2" t="s">
        <v>31</v>
      </c>
      <c r="D144" s="2" t="s">
        <v>41</v>
      </c>
      <c r="E144" s="2" t="s">
        <v>26</v>
      </c>
      <c r="F144" s="2" t="s">
        <v>66</v>
      </c>
      <c r="G144" s="2">
        <v>1</v>
      </c>
      <c r="H144" s="3">
        <v>95</v>
      </c>
      <c r="I144" s="4">
        <v>15</v>
      </c>
      <c r="J144" s="3">
        <f t="shared" si="4"/>
        <v>80.75</v>
      </c>
    </row>
    <row r="145" spans="1:10" x14ac:dyDescent="0.35">
      <c r="A145" s="5">
        <v>146</v>
      </c>
      <c r="B145" s="15">
        <v>45447</v>
      </c>
      <c r="C145" s="5" t="s">
        <v>25</v>
      </c>
      <c r="D145" s="5" t="s">
        <v>21</v>
      </c>
      <c r="E145" s="5" t="s">
        <v>13</v>
      </c>
      <c r="F145" s="5" t="s">
        <v>37</v>
      </c>
      <c r="G145" s="5">
        <v>1</v>
      </c>
      <c r="H145" s="6">
        <v>45</v>
      </c>
      <c r="I145" s="7">
        <v>10</v>
      </c>
      <c r="J145" s="6">
        <f t="shared" si="4"/>
        <v>40.5</v>
      </c>
    </row>
    <row r="146" spans="1:10" x14ac:dyDescent="0.35">
      <c r="A146" s="2">
        <v>147</v>
      </c>
      <c r="B146" s="14">
        <v>45396</v>
      </c>
      <c r="C146" s="2" t="s">
        <v>11</v>
      </c>
      <c r="D146" s="2" t="s">
        <v>21</v>
      </c>
      <c r="E146" s="2" t="s">
        <v>18</v>
      </c>
      <c r="F146" s="2" t="s">
        <v>32</v>
      </c>
      <c r="G146" s="2">
        <v>1</v>
      </c>
      <c r="H146" s="3">
        <v>60</v>
      </c>
      <c r="I146" s="4">
        <v>15</v>
      </c>
      <c r="J146" s="3">
        <f t="shared" si="4"/>
        <v>51</v>
      </c>
    </row>
    <row r="147" spans="1:10" x14ac:dyDescent="0.35">
      <c r="A147" s="5">
        <v>148</v>
      </c>
      <c r="B147" s="15">
        <v>45331</v>
      </c>
      <c r="C147" s="5" t="s">
        <v>56</v>
      </c>
      <c r="D147" s="5" t="s">
        <v>35</v>
      </c>
      <c r="E147" s="5" t="s">
        <v>13</v>
      </c>
      <c r="F147" s="5" t="s">
        <v>42</v>
      </c>
      <c r="G147" s="5">
        <v>4</v>
      </c>
      <c r="H147" s="6">
        <v>90</v>
      </c>
      <c r="I147" s="7">
        <v>5</v>
      </c>
      <c r="J147" s="6">
        <f t="shared" si="4"/>
        <v>342</v>
      </c>
    </row>
    <row r="148" spans="1:10" x14ac:dyDescent="0.35">
      <c r="A148" s="2">
        <v>149</v>
      </c>
      <c r="B148" s="14">
        <v>45354</v>
      </c>
      <c r="C148" s="2" t="s">
        <v>56</v>
      </c>
      <c r="D148" s="2" t="s">
        <v>17</v>
      </c>
      <c r="E148" s="2" t="s">
        <v>22</v>
      </c>
      <c r="F148" s="2" t="s">
        <v>46</v>
      </c>
      <c r="G148" s="2">
        <v>2</v>
      </c>
      <c r="H148" s="3">
        <v>40</v>
      </c>
      <c r="I148" s="4">
        <v>10</v>
      </c>
      <c r="J148" s="3">
        <f t="shared" si="4"/>
        <v>72</v>
      </c>
    </row>
    <row r="149" spans="1:10" x14ac:dyDescent="0.35">
      <c r="A149" s="5">
        <v>150</v>
      </c>
      <c r="B149" s="15">
        <v>45422</v>
      </c>
      <c r="C149" s="5" t="s">
        <v>16</v>
      </c>
      <c r="D149" s="5" t="s">
        <v>21</v>
      </c>
      <c r="E149" s="5" t="s">
        <v>18</v>
      </c>
      <c r="F149" s="5" t="s">
        <v>61</v>
      </c>
      <c r="G149" s="5">
        <v>4</v>
      </c>
      <c r="H149" s="6">
        <v>75</v>
      </c>
      <c r="I149" s="7">
        <v>0</v>
      </c>
      <c r="J149" s="6">
        <f t="shared" si="4"/>
        <v>300</v>
      </c>
    </row>
    <row r="150" spans="1:10" x14ac:dyDescent="0.35">
      <c r="A150" s="2">
        <v>151</v>
      </c>
      <c r="B150" s="14">
        <v>45421</v>
      </c>
      <c r="C150" s="2" t="s">
        <v>31</v>
      </c>
      <c r="D150" s="2" t="s">
        <v>12</v>
      </c>
      <c r="E150" s="2" t="s">
        <v>13</v>
      </c>
      <c r="F150" s="2" t="s">
        <v>59</v>
      </c>
      <c r="G150" s="2">
        <v>5</v>
      </c>
      <c r="H150" s="3">
        <v>20</v>
      </c>
      <c r="I150" s="4">
        <v>10</v>
      </c>
      <c r="J150" s="3">
        <f t="shared" si="4"/>
        <v>90</v>
      </c>
    </row>
    <row r="151" spans="1:10" x14ac:dyDescent="0.35">
      <c r="A151" s="5">
        <v>152</v>
      </c>
      <c r="B151" s="15">
        <v>45460</v>
      </c>
      <c r="C151" s="5" t="s">
        <v>56</v>
      </c>
      <c r="D151" s="5" t="s">
        <v>21</v>
      </c>
      <c r="E151" s="5" t="s">
        <v>26</v>
      </c>
      <c r="F151" s="5" t="s">
        <v>57</v>
      </c>
      <c r="G151" s="5">
        <v>4</v>
      </c>
      <c r="H151" s="6">
        <v>150</v>
      </c>
      <c r="I151" s="7">
        <v>0</v>
      </c>
      <c r="J151" s="6">
        <f t="shared" si="4"/>
        <v>600</v>
      </c>
    </row>
    <row r="152" spans="1:10" x14ac:dyDescent="0.35">
      <c r="A152" s="2">
        <v>153</v>
      </c>
      <c r="B152" s="14">
        <v>45377</v>
      </c>
      <c r="C152" s="2" t="s">
        <v>34</v>
      </c>
      <c r="D152" s="2" t="s">
        <v>17</v>
      </c>
      <c r="E152" s="2" t="s">
        <v>26</v>
      </c>
      <c r="F152" s="2" t="s">
        <v>51</v>
      </c>
      <c r="G152" s="2">
        <v>3</v>
      </c>
      <c r="H152" s="3">
        <v>60</v>
      </c>
      <c r="I152" s="4">
        <v>20</v>
      </c>
      <c r="J152" s="3">
        <f t="shared" si="4"/>
        <v>144</v>
      </c>
    </row>
    <row r="153" spans="1:10" x14ac:dyDescent="0.35">
      <c r="A153" s="5">
        <v>154</v>
      </c>
      <c r="B153" s="15">
        <v>45340</v>
      </c>
      <c r="C153" s="5" t="s">
        <v>16</v>
      </c>
      <c r="D153" s="5" t="s">
        <v>21</v>
      </c>
      <c r="E153" s="5" t="s">
        <v>26</v>
      </c>
      <c r="F153" s="5" t="s">
        <v>27</v>
      </c>
      <c r="G153" s="5">
        <v>4</v>
      </c>
      <c r="H153" s="6">
        <v>120</v>
      </c>
      <c r="I153" s="7">
        <v>0</v>
      </c>
      <c r="J153" s="6">
        <f t="shared" si="4"/>
        <v>480</v>
      </c>
    </row>
    <row r="154" spans="1:10" x14ac:dyDescent="0.35">
      <c r="A154" s="2">
        <v>155</v>
      </c>
      <c r="B154" s="14">
        <v>45373</v>
      </c>
      <c r="C154" s="2" t="s">
        <v>16</v>
      </c>
      <c r="D154" s="2" t="s">
        <v>41</v>
      </c>
      <c r="E154" s="2" t="s">
        <v>26</v>
      </c>
      <c r="F154" s="2" t="s">
        <v>51</v>
      </c>
      <c r="G154" s="2">
        <v>2</v>
      </c>
      <c r="H154" s="3">
        <v>60</v>
      </c>
      <c r="I154" s="4">
        <v>5</v>
      </c>
      <c r="J154" s="3">
        <f t="shared" si="4"/>
        <v>114</v>
      </c>
    </row>
    <row r="155" spans="1:10" x14ac:dyDescent="0.35">
      <c r="A155" s="5">
        <v>156</v>
      </c>
      <c r="B155" s="15">
        <v>45301</v>
      </c>
      <c r="C155" s="5" t="s">
        <v>25</v>
      </c>
      <c r="D155" s="5" t="s">
        <v>17</v>
      </c>
      <c r="E155" s="5" t="s">
        <v>13</v>
      </c>
      <c r="F155" s="5" t="s">
        <v>44</v>
      </c>
      <c r="G155" s="5">
        <v>4</v>
      </c>
      <c r="H155" s="6">
        <v>35</v>
      </c>
      <c r="I155" s="7">
        <v>0</v>
      </c>
      <c r="J155" s="6">
        <f t="shared" si="4"/>
        <v>140</v>
      </c>
    </row>
    <row r="156" spans="1:10" x14ac:dyDescent="0.35">
      <c r="A156" s="2">
        <v>157</v>
      </c>
      <c r="B156" s="14">
        <v>45426</v>
      </c>
      <c r="C156" s="2" t="s">
        <v>56</v>
      </c>
      <c r="D156" s="2" t="s">
        <v>12</v>
      </c>
      <c r="E156" s="2" t="s">
        <v>22</v>
      </c>
      <c r="F156" s="2" t="s">
        <v>46</v>
      </c>
      <c r="G156" s="2">
        <v>2</v>
      </c>
      <c r="H156" s="3">
        <v>40</v>
      </c>
      <c r="I156" s="4">
        <v>0</v>
      </c>
      <c r="J156" s="3">
        <f t="shared" si="4"/>
        <v>80</v>
      </c>
    </row>
    <row r="157" spans="1:10" x14ac:dyDescent="0.35">
      <c r="A157" s="5">
        <v>158</v>
      </c>
      <c r="B157" s="15">
        <v>45412</v>
      </c>
      <c r="C157" s="5" t="s">
        <v>31</v>
      </c>
      <c r="D157" s="5" t="s">
        <v>35</v>
      </c>
      <c r="E157" s="5" t="s">
        <v>26</v>
      </c>
      <c r="F157" s="5" t="s">
        <v>66</v>
      </c>
      <c r="G157" s="5">
        <v>3</v>
      </c>
      <c r="H157" s="6">
        <v>95</v>
      </c>
      <c r="I157" s="7">
        <v>20</v>
      </c>
      <c r="J157" s="6">
        <f t="shared" si="4"/>
        <v>228</v>
      </c>
    </row>
    <row r="158" spans="1:10" x14ac:dyDescent="0.35">
      <c r="A158" s="2">
        <v>159</v>
      </c>
      <c r="B158" s="14">
        <v>45464</v>
      </c>
      <c r="C158" s="2" t="s">
        <v>34</v>
      </c>
      <c r="D158" s="2" t="s">
        <v>41</v>
      </c>
      <c r="E158" s="2" t="s">
        <v>13</v>
      </c>
      <c r="F158" s="2" t="s">
        <v>42</v>
      </c>
      <c r="G158" s="2">
        <v>5</v>
      </c>
      <c r="H158" s="3">
        <v>90</v>
      </c>
      <c r="I158" s="4">
        <v>0</v>
      </c>
      <c r="J158" s="3">
        <f t="shared" si="4"/>
        <v>450</v>
      </c>
    </row>
    <row r="159" spans="1:10" x14ac:dyDescent="0.35">
      <c r="A159" s="5">
        <v>160</v>
      </c>
      <c r="B159" s="15">
        <v>45450</v>
      </c>
      <c r="C159" s="5" t="s">
        <v>11</v>
      </c>
      <c r="D159" s="5" t="s">
        <v>21</v>
      </c>
      <c r="E159" s="5" t="s">
        <v>13</v>
      </c>
      <c r="F159" s="5" t="s">
        <v>14</v>
      </c>
      <c r="G159" s="5">
        <v>1</v>
      </c>
      <c r="H159" s="6">
        <v>30</v>
      </c>
      <c r="I159" s="7">
        <v>5</v>
      </c>
      <c r="J159" s="6">
        <f t="shared" si="4"/>
        <v>28.5</v>
      </c>
    </row>
    <row r="160" spans="1:10" x14ac:dyDescent="0.35">
      <c r="A160" s="2">
        <v>161</v>
      </c>
      <c r="B160" s="14">
        <v>45317</v>
      </c>
      <c r="C160" s="2" t="s">
        <v>16</v>
      </c>
      <c r="D160" s="2" t="s">
        <v>12</v>
      </c>
      <c r="E160" s="2" t="s">
        <v>26</v>
      </c>
      <c r="F160" s="2" t="s">
        <v>27</v>
      </c>
      <c r="G160" s="2">
        <v>3</v>
      </c>
      <c r="H160" s="3">
        <v>120</v>
      </c>
      <c r="I160" s="4">
        <v>0</v>
      </c>
      <c r="J160" s="3">
        <f t="shared" si="4"/>
        <v>360</v>
      </c>
    </row>
    <row r="161" spans="1:10" x14ac:dyDescent="0.35">
      <c r="A161" s="5">
        <v>162</v>
      </c>
      <c r="B161" s="15">
        <v>45303</v>
      </c>
      <c r="C161" s="5" t="s">
        <v>31</v>
      </c>
      <c r="D161" s="5" t="s">
        <v>12</v>
      </c>
      <c r="E161" s="5" t="s">
        <v>13</v>
      </c>
      <c r="F161" s="5" t="s">
        <v>59</v>
      </c>
      <c r="G161" s="5">
        <v>3</v>
      </c>
      <c r="H161" s="6">
        <v>20</v>
      </c>
      <c r="I161" s="7">
        <v>5</v>
      </c>
      <c r="J161" s="6">
        <f t="shared" si="4"/>
        <v>57</v>
      </c>
    </row>
    <row r="162" spans="1:10" x14ac:dyDescent="0.35">
      <c r="A162" s="2">
        <v>163</v>
      </c>
      <c r="B162" s="14">
        <v>45329</v>
      </c>
      <c r="C162" s="2" t="s">
        <v>25</v>
      </c>
      <c r="D162" s="2" t="s">
        <v>17</v>
      </c>
      <c r="E162" s="2" t="s">
        <v>26</v>
      </c>
      <c r="F162" s="2" t="s">
        <v>57</v>
      </c>
      <c r="G162" s="2">
        <v>2</v>
      </c>
      <c r="H162" s="3">
        <v>150</v>
      </c>
      <c r="I162" s="4">
        <v>0</v>
      </c>
      <c r="J162" s="3">
        <f t="shared" ref="J162:J193" si="5">G162*H162*(1-I162/100)</f>
        <v>300</v>
      </c>
    </row>
    <row r="163" spans="1:10" x14ac:dyDescent="0.35">
      <c r="A163" s="5">
        <v>164</v>
      </c>
      <c r="B163" s="15">
        <v>45336</v>
      </c>
      <c r="C163" s="5" t="s">
        <v>11</v>
      </c>
      <c r="D163" s="5" t="s">
        <v>17</v>
      </c>
      <c r="E163" s="5" t="s">
        <v>26</v>
      </c>
      <c r="F163" s="5" t="s">
        <v>57</v>
      </c>
      <c r="G163" s="5">
        <v>2</v>
      </c>
      <c r="H163" s="6">
        <v>150</v>
      </c>
      <c r="I163" s="7">
        <v>5</v>
      </c>
      <c r="J163" s="6">
        <f t="shared" si="5"/>
        <v>285</v>
      </c>
    </row>
    <row r="164" spans="1:10" x14ac:dyDescent="0.35">
      <c r="A164" s="2">
        <v>165</v>
      </c>
      <c r="B164" s="14">
        <v>45441</v>
      </c>
      <c r="C164" s="2" t="s">
        <v>25</v>
      </c>
      <c r="D164" s="2" t="s">
        <v>21</v>
      </c>
      <c r="E164" s="2" t="s">
        <v>26</v>
      </c>
      <c r="F164" s="2" t="s">
        <v>29</v>
      </c>
      <c r="G164" s="2">
        <v>4</v>
      </c>
      <c r="H164" s="3">
        <v>85</v>
      </c>
      <c r="I164" s="4">
        <v>0</v>
      </c>
      <c r="J164" s="3">
        <f t="shared" si="5"/>
        <v>340</v>
      </c>
    </row>
    <row r="165" spans="1:10" x14ac:dyDescent="0.35">
      <c r="A165" s="5">
        <v>166</v>
      </c>
      <c r="B165" s="15">
        <v>45462</v>
      </c>
      <c r="C165" s="5" t="s">
        <v>11</v>
      </c>
      <c r="D165" s="5" t="s">
        <v>41</v>
      </c>
      <c r="E165" s="5" t="s">
        <v>13</v>
      </c>
      <c r="F165" s="5" t="s">
        <v>37</v>
      </c>
      <c r="G165" s="5">
        <v>2</v>
      </c>
      <c r="H165" s="6">
        <v>45</v>
      </c>
      <c r="I165" s="7">
        <v>0</v>
      </c>
      <c r="J165" s="6">
        <f t="shared" si="5"/>
        <v>90</v>
      </c>
    </row>
    <row r="166" spans="1:10" x14ac:dyDescent="0.35">
      <c r="A166" s="2">
        <v>167</v>
      </c>
      <c r="B166" s="14">
        <v>45405</v>
      </c>
      <c r="C166" s="2" t="s">
        <v>31</v>
      </c>
      <c r="D166" s="2" t="s">
        <v>17</v>
      </c>
      <c r="E166" s="2" t="s">
        <v>13</v>
      </c>
      <c r="F166" s="2" t="s">
        <v>42</v>
      </c>
      <c r="G166" s="2">
        <v>3</v>
      </c>
      <c r="H166" s="3">
        <v>90</v>
      </c>
      <c r="I166" s="4">
        <v>5</v>
      </c>
      <c r="J166" s="3">
        <f t="shared" si="5"/>
        <v>256.5</v>
      </c>
    </row>
    <row r="167" spans="1:10" x14ac:dyDescent="0.35">
      <c r="A167" s="5">
        <v>168</v>
      </c>
      <c r="B167" s="15">
        <v>45369</v>
      </c>
      <c r="C167" s="5" t="s">
        <v>25</v>
      </c>
      <c r="D167" s="5" t="s">
        <v>41</v>
      </c>
      <c r="E167" s="5" t="s">
        <v>26</v>
      </c>
      <c r="F167" s="5" t="s">
        <v>66</v>
      </c>
      <c r="G167" s="5">
        <v>2</v>
      </c>
      <c r="H167" s="6">
        <v>95</v>
      </c>
      <c r="I167" s="7">
        <v>5</v>
      </c>
      <c r="J167" s="6">
        <f t="shared" si="5"/>
        <v>180.5</v>
      </c>
    </row>
    <row r="168" spans="1:10" x14ac:dyDescent="0.35">
      <c r="A168" s="2">
        <v>169</v>
      </c>
      <c r="B168" s="14">
        <v>45438</v>
      </c>
      <c r="C168" s="2" t="s">
        <v>31</v>
      </c>
      <c r="D168" s="2" t="s">
        <v>17</v>
      </c>
      <c r="E168" s="2" t="s">
        <v>13</v>
      </c>
      <c r="F168" s="2" t="s">
        <v>59</v>
      </c>
      <c r="G168" s="2">
        <v>1</v>
      </c>
      <c r="H168" s="3">
        <v>20</v>
      </c>
      <c r="I168" s="4">
        <v>20</v>
      </c>
      <c r="J168" s="3">
        <f t="shared" si="5"/>
        <v>16</v>
      </c>
    </row>
    <row r="169" spans="1:10" x14ac:dyDescent="0.35">
      <c r="A169" s="5">
        <v>170</v>
      </c>
      <c r="B169" s="15">
        <v>45460</v>
      </c>
      <c r="C169" s="5" t="s">
        <v>56</v>
      </c>
      <c r="D169" s="5" t="s">
        <v>35</v>
      </c>
      <c r="E169" s="5" t="s">
        <v>18</v>
      </c>
      <c r="F169" s="5" t="s">
        <v>19</v>
      </c>
      <c r="G169" s="5">
        <v>1</v>
      </c>
      <c r="H169" s="6">
        <v>45</v>
      </c>
      <c r="I169" s="7">
        <v>10</v>
      </c>
      <c r="J169" s="6">
        <f t="shared" si="5"/>
        <v>40.5</v>
      </c>
    </row>
    <row r="170" spans="1:10" x14ac:dyDescent="0.35">
      <c r="A170" s="2">
        <v>171</v>
      </c>
      <c r="B170" s="14">
        <v>45419</v>
      </c>
      <c r="C170" s="2" t="s">
        <v>31</v>
      </c>
      <c r="D170" s="2" t="s">
        <v>21</v>
      </c>
      <c r="E170" s="2" t="s">
        <v>13</v>
      </c>
      <c r="F170" s="2" t="s">
        <v>14</v>
      </c>
      <c r="G170" s="2">
        <v>2</v>
      </c>
      <c r="H170" s="3">
        <v>30</v>
      </c>
      <c r="I170" s="4">
        <v>10</v>
      </c>
      <c r="J170" s="3">
        <f t="shared" si="5"/>
        <v>54</v>
      </c>
    </row>
    <row r="171" spans="1:10" x14ac:dyDescent="0.35">
      <c r="A171" s="5">
        <v>172</v>
      </c>
      <c r="B171" s="15">
        <v>45356</v>
      </c>
      <c r="C171" s="5" t="s">
        <v>16</v>
      </c>
      <c r="D171" s="5" t="s">
        <v>21</v>
      </c>
      <c r="E171" s="5" t="s">
        <v>18</v>
      </c>
      <c r="F171" s="5" t="s">
        <v>77</v>
      </c>
      <c r="G171" s="5">
        <v>3</v>
      </c>
      <c r="H171" s="6">
        <v>25</v>
      </c>
      <c r="I171" s="7">
        <v>20</v>
      </c>
      <c r="J171" s="6">
        <f t="shared" si="5"/>
        <v>60</v>
      </c>
    </row>
    <row r="172" spans="1:10" x14ac:dyDescent="0.35">
      <c r="A172" s="2">
        <v>173</v>
      </c>
      <c r="B172" s="14">
        <v>45404</v>
      </c>
      <c r="C172" s="2" t="s">
        <v>11</v>
      </c>
      <c r="D172" s="2" t="s">
        <v>17</v>
      </c>
      <c r="E172" s="2" t="s">
        <v>13</v>
      </c>
      <c r="F172" s="2" t="s">
        <v>14</v>
      </c>
      <c r="G172" s="2">
        <v>1</v>
      </c>
      <c r="H172" s="3">
        <v>30</v>
      </c>
      <c r="I172" s="4">
        <v>0</v>
      </c>
      <c r="J172" s="3">
        <f t="shared" si="5"/>
        <v>30</v>
      </c>
    </row>
    <row r="173" spans="1:10" x14ac:dyDescent="0.35">
      <c r="A173" s="5">
        <v>174</v>
      </c>
      <c r="B173" s="15">
        <v>45375</v>
      </c>
      <c r="C173" s="5" t="s">
        <v>16</v>
      </c>
      <c r="D173" s="5" t="s">
        <v>41</v>
      </c>
      <c r="E173" s="5" t="s">
        <v>22</v>
      </c>
      <c r="F173" s="5" t="s">
        <v>79</v>
      </c>
      <c r="G173" s="5">
        <v>2</v>
      </c>
      <c r="H173" s="6">
        <v>70</v>
      </c>
      <c r="I173" s="7">
        <v>20</v>
      </c>
      <c r="J173" s="6">
        <f t="shared" si="5"/>
        <v>112</v>
      </c>
    </row>
    <row r="174" spans="1:10" x14ac:dyDescent="0.35">
      <c r="A174" s="2">
        <v>175</v>
      </c>
      <c r="B174" s="14">
        <v>45430</v>
      </c>
      <c r="C174" s="2" t="s">
        <v>31</v>
      </c>
      <c r="D174" s="2" t="s">
        <v>17</v>
      </c>
      <c r="E174" s="2" t="s">
        <v>13</v>
      </c>
      <c r="F174" s="2" t="s">
        <v>14</v>
      </c>
      <c r="G174" s="2">
        <v>3</v>
      </c>
      <c r="H174" s="3">
        <v>30</v>
      </c>
      <c r="I174" s="4">
        <v>20</v>
      </c>
      <c r="J174" s="3">
        <f t="shared" si="5"/>
        <v>72</v>
      </c>
    </row>
    <row r="175" spans="1:10" x14ac:dyDescent="0.35">
      <c r="A175" s="5">
        <v>176</v>
      </c>
      <c r="B175" s="15">
        <v>45415</v>
      </c>
      <c r="C175" s="5" t="s">
        <v>31</v>
      </c>
      <c r="D175" s="5" t="s">
        <v>35</v>
      </c>
      <c r="E175" s="5" t="s">
        <v>18</v>
      </c>
      <c r="F175" s="5" t="s">
        <v>32</v>
      </c>
      <c r="G175" s="5">
        <v>1</v>
      </c>
      <c r="H175" s="6">
        <v>60</v>
      </c>
      <c r="I175" s="7">
        <v>0</v>
      </c>
      <c r="J175" s="6">
        <f t="shared" si="5"/>
        <v>60</v>
      </c>
    </row>
    <row r="176" spans="1:10" x14ac:dyDescent="0.35">
      <c r="A176" s="2">
        <v>177</v>
      </c>
      <c r="B176" s="14">
        <v>45349</v>
      </c>
      <c r="C176" s="2" t="s">
        <v>16</v>
      </c>
      <c r="D176" s="2" t="s">
        <v>41</v>
      </c>
      <c r="E176" s="2" t="s">
        <v>13</v>
      </c>
      <c r="F176" s="2" t="s">
        <v>44</v>
      </c>
      <c r="G176" s="2">
        <v>4</v>
      </c>
      <c r="H176" s="3">
        <v>35</v>
      </c>
      <c r="I176" s="4">
        <v>0</v>
      </c>
      <c r="J176" s="3">
        <f t="shared" si="5"/>
        <v>140</v>
      </c>
    </row>
    <row r="177" spans="1:10" x14ac:dyDescent="0.35">
      <c r="A177" s="5">
        <v>178</v>
      </c>
      <c r="B177" s="15">
        <v>45359</v>
      </c>
      <c r="C177" s="5" t="s">
        <v>34</v>
      </c>
      <c r="D177" s="5" t="s">
        <v>12</v>
      </c>
      <c r="E177" s="5" t="s">
        <v>26</v>
      </c>
      <c r="F177" s="5" t="s">
        <v>29</v>
      </c>
      <c r="G177" s="5">
        <v>3</v>
      </c>
      <c r="H177" s="6">
        <v>85</v>
      </c>
      <c r="I177" s="7">
        <v>10</v>
      </c>
      <c r="J177" s="6">
        <f t="shared" si="5"/>
        <v>229.5</v>
      </c>
    </row>
    <row r="178" spans="1:10" x14ac:dyDescent="0.35">
      <c r="A178" s="2">
        <v>179</v>
      </c>
      <c r="B178" s="14">
        <v>45389</v>
      </c>
      <c r="C178" s="2" t="s">
        <v>16</v>
      </c>
      <c r="D178" s="2" t="s">
        <v>35</v>
      </c>
      <c r="E178" s="2" t="s">
        <v>18</v>
      </c>
      <c r="F178" s="2" t="s">
        <v>39</v>
      </c>
      <c r="G178" s="2">
        <v>4</v>
      </c>
      <c r="H178" s="3">
        <v>55</v>
      </c>
      <c r="I178" s="4">
        <v>0</v>
      </c>
      <c r="J178" s="3">
        <f t="shared" si="5"/>
        <v>220</v>
      </c>
    </row>
    <row r="179" spans="1:10" x14ac:dyDescent="0.35">
      <c r="A179" s="5">
        <v>180</v>
      </c>
      <c r="B179" s="15">
        <v>45450</v>
      </c>
      <c r="C179" s="5" t="s">
        <v>34</v>
      </c>
      <c r="D179" s="5" t="s">
        <v>35</v>
      </c>
      <c r="E179" s="5" t="s">
        <v>22</v>
      </c>
      <c r="F179" s="5" t="s">
        <v>72</v>
      </c>
      <c r="G179" s="5">
        <v>4</v>
      </c>
      <c r="H179" s="6">
        <v>80</v>
      </c>
      <c r="I179" s="7">
        <v>15</v>
      </c>
      <c r="J179" s="6">
        <f t="shared" si="5"/>
        <v>272</v>
      </c>
    </row>
    <row r="180" spans="1:10" x14ac:dyDescent="0.35">
      <c r="A180" s="2">
        <v>181</v>
      </c>
      <c r="B180" s="14">
        <v>45369</v>
      </c>
      <c r="C180" s="2" t="s">
        <v>16</v>
      </c>
      <c r="D180" s="2" t="s">
        <v>41</v>
      </c>
      <c r="E180" s="2" t="s">
        <v>18</v>
      </c>
      <c r="F180" s="2" t="s">
        <v>39</v>
      </c>
      <c r="G180" s="2">
        <v>1</v>
      </c>
      <c r="H180" s="3">
        <v>55</v>
      </c>
      <c r="I180" s="4">
        <v>0</v>
      </c>
      <c r="J180" s="3">
        <f t="shared" si="5"/>
        <v>55</v>
      </c>
    </row>
    <row r="181" spans="1:10" x14ac:dyDescent="0.35">
      <c r="A181" s="5">
        <v>182</v>
      </c>
      <c r="B181" s="15">
        <v>45369</v>
      </c>
      <c r="C181" s="5" t="s">
        <v>56</v>
      </c>
      <c r="D181" s="5" t="s">
        <v>12</v>
      </c>
      <c r="E181" s="5" t="s">
        <v>18</v>
      </c>
      <c r="F181" s="5" t="s">
        <v>39</v>
      </c>
      <c r="G181" s="5">
        <v>5</v>
      </c>
      <c r="H181" s="6">
        <v>55</v>
      </c>
      <c r="I181" s="7">
        <v>0</v>
      </c>
      <c r="J181" s="6">
        <f t="shared" si="5"/>
        <v>275</v>
      </c>
    </row>
    <row r="182" spans="1:10" x14ac:dyDescent="0.35">
      <c r="A182" s="2">
        <v>183</v>
      </c>
      <c r="B182" s="14">
        <v>45391</v>
      </c>
      <c r="C182" s="2" t="s">
        <v>56</v>
      </c>
      <c r="D182" s="2" t="s">
        <v>35</v>
      </c>
      <c r="E182" s="2" t="s">
        <v>26</v>
      </c>
      <c r="F182" s="2" t="s">
        <v>57</v>
      </c>
      <c r="G182" s="2">
        <v>2</v>
      </c>
      <c r="H182" s="3">
        <v>150</v>
      </c>
      <c r="I182" s="4">
        <v>5</v>
      </c>
      <c r="J182" s="3">
        <f t="shared" si="5"/>
        <v>285</v>
      </c>
    </row>
    <row r="183" spans="1:10" x14ac:dyDescent="0.35">
      <c r="A183" s="5">
        <v>184</v>
      </c>
      <c r="B183" s="15">
        <v>45459</v>
      </c>
      <c r="C183" s="5" t="s">
        <v>11</v>
      </c>
      <c r="D183" s="5" t="s">
        <v>41</v>
      </c>
      <c r="E183" s="5" t="s">
        <v>26</v>
      </c>
      <c r="F183" s="5" t="s">
        <v>29</v>
      </c>
      <c r="G183" s="5">
        <v>1</v>
      </c>
      <c r="H183" s="6">
        <v>85</v>
      </c>
      <c r="I183" s="7">
        <v>15</v>
      </c>
      <c r="J183" s="6">
        <f t="shared" si="5"/>
        <v>72.25</v>
      </c>
    </row>
    <row r="184" spans="1:10" x14ac:dyDescent="0.35">
      <c r="A184" s="2">
        <v>185</v>
      </c>
      <c r="B184" s="14">
        <v>45386</v>
      </c>
      <c r="C184" s="2" t="s">
        <v>25</v>
      </c>
      <c r="D184" s="2" t="s">
        <v>41</v>
      </c>
      <c r="E184" s="2" t="s">
        <v>26</v>
      </c>
      <c r="F184" s="2" t="s">
        <v>27</v>
      </c>
      <c r="G184" s="2">
        <v>3</v>
      </c>
      <c r="H184" s="3">
        <v>120</v>
      </c>
      <c r="I184" s="4">
        <v>0</v>
      </c>
      <c r="J184" s="3">
        <f t="shared" si="5"/>
        <v>360</v>
      </c>
    </row>
    <row r="185" spans="1:10" x14ac:dyDescent="0.35">
      <c r="A185" s="5">
        <v>186</v>
      </c>
      <c r="B185" s="15">
        <v>45467</v>
      </c>
      <c r="C185" s="5" t="s">
        <v>31</v>
      </c>
      <c r="D185" s="5" t="s">
        <v>17</v>
      </c>
      <c r="E185" s="5" t="s">
        <v>13</v>
      </c>
      <c r="F185" s="5" t="s">
        <v>44</v>
      </c>
      <c r="G185" s="5">
        <v>4</v>
      </c>
      <c r="H185" s="6">
        <v>35</v>
      </c>
      <c r="I185" s="7">
        <v>0</v>
      </c>
      <c r="J185" s="6">
        <f t="shared" si="5"/>
        <v>140</v>
      </c>
    </row>
    <row r="186" spans="1:10" x14ac:dyDescent="0.35">
      <c r="A186" s="2">
        <v>187</v>
      </c>
      <c r="B186" s="14">
        <v>45340</v>
      </c>
      <c r="C186" s="2" t="s">
        <v>11</v>
      </c>
      <c r="D186" s="2" t="s">
        <v>41</v>
      </c>
      <c r="E186" s="2" t="s">
        <v>18</v>
      </c>
      <c r="F186" s="2" t="s">
        <v>39</v>
      </c>
      <c r="G186" s="2">
        <v>5</v>
      </c>
      <c r="H186" s="3">
        <v>55</v>
      </c>
      <c r="I186" s="4">
        <v>0</v>
      </c>
      <c r="J186" s="3">
        <f t="shared" si="5"/>
        <v>275</v>
      </c>
    </row>
    <row r="187" spans="1:10" x14ac:dyDescent="0.35">
      <c r="A187" s="5">
        <v>188</v>
      </c>
      <c r="B187" s="15">
        <v>45304</v>
      </c>
      <c r="C187" s="5" t="s">
        <v>31</v>
      </c>
      <c r="D187" s="5" t="s">
        <v>21</v>
      </c>
      <c r="E187" s="5" t="s">
        <v>22</v>
      </c>
      <c r="F187" s="5" t="s">
        <v>23</v>
      </c>
      <c r="G187" s="5">
        <v>2</v>
      </c>
      <c r="H187" s="6">
        <v>65</v>
      </c>
      <c r="I187" s="7">
        <v>0</v>
      </c>
      <c r="J187" s="6">
        <f t="shared" si="5"/>
        <v>130</v>
      </c>
    </row>
    <row r="188" spans="1:10" x14ac:dyDescent="0.35">
      <c r="A188" s="2">
        <v>189</v>
      </c>
      <c r="B188" s="14">
        <v>45433</v>
      </c>
      <c r="C188" s="2" t="s">
        <v>25</v>
      </c>
      <c r="D188" s="2" t="s">
        <v>17</v>
      </c>
      <c r="E188" s="2" t="s">
        <v>22</v>
      </c>
      <c r="F188" s="2" t="s">
        <v>79</v>
      </c>
      <c r="G188" s="2">
        <v>3</v>
      </c>
      <c r="H188" s="3">
        <v>70</v>
      </c>
      <c r="I188" s="4">
        <v>20</v>
      </c>
      <c r="J188" s="3">
        <f t="shared" si="5"/>
        <v>168</v>
      </c>
    </row>
    <row r="189" spans="1:10" x14ac:dyDescent="0.35">
      <c r="A189" s="5">
        <v>190</v>
      </c>
      <c r="B189" s="15">
        <v>45329</v>
      </c>
      <c r="C189" s="5" t="s">
        <v>34</v>
      </c>
      <c r="D189" s="5" t="s">
        <v>12</v>
      </c>
      <c r="E189" s="5" t="s">
        <v>13</v>
      </c>
      <c r="F189" s="5" t="s">
        <v>14</v>
      </c>
      <c r="G189" s="5">
        <v>2</v>
      </c>
      <c r="H189" s="6">
        <v>30</v>
      </c>
      <c r="I189" s="7">
        <v>10</v>
      </c>
      <c r="J189" s="6">
        <f t="shared" si="5"/>
        <v>54</v>
      </c>
    </row>
    <row r="190" spans="1:10" x14ac:dyDescent="0.35">
      <c r="A190" s="2">
        <v>191</v>
      </c>
      <c r="B190" s="14">
        <v>45356</v>
      </c>
      <c r="C190" s="2" t="s">
        <v>25</v>
      </c>
      <c r="D190" s="2" t="s">
        <v>12</v>
      </c>
      <c r="E190" s="2" t="s">
        <v>18</v>
      </c>
      <c r="F190" s="2" t="s">
        <v>39</v>
      </c>
      <c r="G190" s="2">
        <v>1</v>
      </c>
      <c r="H190" s="3">
        <v>55</v>
      </c>
      <c r="I190" s="4">
        <v>0</v>
      </c>
      <c r="J190" s="3">
        <f t="shared" si="5"/>
        <v>55</v>
      </c>
    </row>
    <row r="191" spans="1:10" x14ac:dyDescent="0.35">
      <c r="A191" s="5">
        <v>192</v>
      </c>
      <c r="B191" s="15">
        <v>45352</v>
      </c>
      <c r="C191" s="5" t="s">
        <v>34</v>
      </c>
      <c r="D191" s="5" t="s">
        <v>35</v>
      </c>
      <c r="E191" s="5" t="s">
        <v>18</v>
      </c>
      <c r="F191" s="5" t="s">
        <v>39</v>
      </c>
      <c r="G191" s="5">
        <v>3</v>
      </c>
      <c r="H191" s="6">
        <v>55</v>
      </c>
      <c r="I191" s="7">
        <v>0</v>
      </c>
      <c r="J191" s="6">
        <f t="shared" si="5"/>
        <v>165</v>
      </c>
    </row>
    <row r="192" spans="1:10" x14ac:dyDescent="0.35">
      <c r="A192" s="2">
        <v>193</v>
      </c>
      <c r="B192" s="14">
        <v>45324</v>
      </c>
      <c r="C192" s="2" t="s">
        <v>16</v>
      </c>
      <c r="D192" s="2" t="s">
        <v>41</v>
      </c>
      <c r="E192" s="2" t="s">
        <v>18</v>
      </c>
      <c r="F192" s="2" t="s">
        <v>77</v>
      </c>
      <c r="G192" s="2">
        <v>4</v>
      </c>
      <c r="H192" s="3">
        <v>25</v>
      </c>
      <c r="I192" s="4">
        <v>5</v>
      </c>
      <c r="J192" s="3">
        <f t="shared" si="5"/>
        <v>95</v>
      </c>
    </row>
    <row r="193" spans="1:10" x14ac:dyDescent="0.35">
      <c r="A193" s="5">
        <v>194</v>
      </c>
      <c r="B193" s="15">
        <v>45384</v>
      </c>
      <c r="C193" s="5" t="s">
        <v>34</v>
      </c>
      <c r="D193" s="5" t="s">
        <v>17</v>
      </c>
      <c r="E193" s="5" t="s">
        <v>18</v>
      </c>
      <c r="F193" s="5" t="s">
        <v>32</v>
      </c>
      <c r="G193" s="5">
        <v>5</v>
      </c>
      <c r="H193" s="6">
        <v>60</v>
      </c>
      <c r="I193" s="7">
        <v>0</v>
      </c>
      <c r="J193" s="6">
        <f t="shared" si="5"/>
        <v>300</v>
      </c>
    </row>
    <row r="194" spans="1:10" x14ac:dyDescent="0.35">
      <c r="A194" s="2">
        <v>195</v>
      </c>
      <c r="B194" s="14">
        <v>45449</v>
      </c>
      <c r="C194" s="2" t="s">
        <v>11</v>
      </c>
      <c r="D194" s="2" t="s">
        <v>17</v>
      </c>
      <c r="E194" s="2" t="s">
        <v>13</v>
      </c>
      <c r="F194" s="2" t="s">
        <v>42</v>
      </c>
      <c r="G194" s="2">
        <v>1</v>
      </c>
      <c r="H194" s="3">
        <v>90</v>
      </c>
      <c r="I194" s="4">
        <v>0</v>
      </c>
      <c r="J194" s="3">
        <f t="shared" ref="J194:J199" si="6">G194*H194*(1-I194/100)</f>
        <v>90</v>
      </c>
    </row>
    <row r="195" spans="1:10" x14ac:dyDescent="0.35">
      <c r="A195" s="5">
        <v>196</v>
      </c>
      <c r="B195" s="15">
        <v>45414</v>
      </c>
      <c r="C195" s="5" t="s">
        <v>56</v>
      </c>
      <c r="D195" s="5" t="s">
        <v>41</v>
      </c>
      <c r="E195" s="5" t="s">
        <v>18</v>
      </c>
      <c r="F195" s="5" t="s">
        <v>32</v>
      </c>
      <c r="G195" s="5">
        <v>4</v>
      </c>
      <c r="H195" s="6">
        <v>60</v>
      </c>
      <c r="I195" s="7">
        <v>0</v>
      </c>
      <c r="J195" s="6">
        <f t="shared" si="6"/>
        <v>240</v>
      </c>
    </row>
    <row r="196" spans="1:10" x14ac:dyDescent="0.35">
      <c r="A196" s="2">
        <v>197</v>
      </c>
      <c r="B196" s="14">
        <v>45312</v>
      </c>
      <c r="C196" s="2" t="s">
        <v>31</v>
      </c>
      <c r="D196" s="2" t="s">
        <v>17</v>
      </c>
      <c r="E196" s="2" t="s">
        <v>22</v>
      </c>
      <c r="F196" s="2" t="s">
        <v>72</v>
      </c>
      <c r="G196" s="2">
        <v>2</v>
      </c>
      <c r="H196" s="3">
        <v>80</v>
      </c>
      <c r="I196" s="4">
        <v>0</v>
      </c>
      <c r="J196" s="3">
        <f t="shared" si="6"/>
        <v>160</v>
      </c>
    </row>
    <row r="197" spans="1:10" x14ac:dyDescent="0.35">
      <c r="A197" s="5">
        <v>198</v>
      </c>
      <c r="B197" s="15">
        <v>45451</v>
      </c>
      <c r="C197" s="5" t="s">
        <v>16</v>
      </c>
      <c r="D197" s="5" t="s">
        <v>17</v>
      </c>
      <c r="E197" s="5" t="s">
        <v>13</v>
      </c>
      <c r="F197" s="5" t="s">
        <v>42</v>
      </c>
      <c r="G197" s="5">
        <v>5</v>
      </c>
      <c r="H197" s="6">
        <v>90</v>
      </c>
      <c r="I197" s="7">
        <v>10</v>
      </c>
      <c r="J197" s="6">
        <f t="shared" si="6"/>
        <v>405</v>
      </c>
    </row>
    <row r="198" spans="1:10" x14ac:dyDescent="0.35">
      <c r="A198" s="2">
        <v>199</v>
      </c>
      <c r="B198" s="14">
        <v>45367</v>
      </c>
      <c r="C198" s="2" t="s">
        <v>56</v>
      </c>
      <c r="D198" s="2" t="s">
        <v>17</v>
      </c>
      <c r="E198" s="2" t="s">
        <v>26</v>
      </c>
      <c r="F198" s="2" t="s">
        <v>66</v>
      </c>
      <c r="G198" s="2">
        <v>1</v>
      </c>
      <c r="H198" s="3">
        <v>95</v>
      </c>
      <c r="I198" s="4">
        <v>20</v>
      </c>
      <c r="J198" s="3">
        <f t="shared" si="6"/>
        <v>76</v>
      </c>
    </row>
    <row r="199" spans="1:10" x14ac:dyDescent="0.35">
      <c r="A199" s="5">
        <v>200</v>
      </c>
      <c r="B199" s="15">
        <v>45459</v>
      </c>
      <c r="C199" s="5" t="s">
        <v>16</v>
      </c>
      <c r="D199" s="5" t="s">
        <v>17</v>
      </c>
      <c r="E199" s="5" t="s">
        <v>22</v>
      </c>
      <c r="F199" s="5" t="s">
        <v>46</v>
      </c>
      <c r="G199" s="5">
        <v>4</v>
      </c>
      <c r="H199" s="6">
        <v>40</v>
      </c>
      <c r="I199" s="7">
        <v>0</v>
      </c>
      <c r="J199" s="6">
        <f t="shared" si="6"/>
        <v>160</v>
      </c>
    </row>
  </sheetData>
  <conditionalFormatting sqref="A205:A1048576 A1:A199">
    <cfRule type="duplicateValues" dxfId="1" priority="1"/>
  </conditionalFormatting>
  <conditionalFormatting sqref="A1:A199">
    <cfRule type="duplicateValues" dxfId="0" priority="6"/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7"/>
  <sheetViews>
    <sheetView zoomScale="76" workbookViewId="0">
      <selection activeCell="H17" sqref="H17"/>
    </sheetView>
  </sheetViews>
  <sheetFormatPr baseColWidth="10" defaultRowHeight="14.5" x14ac:dyDescent="0.35"/>
  <cols>
    <col min="1" max="1" width="19.54296875" bestFit="1" customWidth="1"/>
    <col min="2" max="2" width="16.453125" bestFit="1" customWidth="1"/>
    <col min="5" max="5" width="19.54296875" bestFit="1" customWidth="1"/>
    <col min="6" max="6" width="22.26953125" customWidth="1"/>
    <col min="7" max="7" width="17.08984375" customWidth="1"/>
    <col min="8" max="8" width="10.36328125" bestFit="1" customWidth="1"/>
    <col min="9" max="9" width="7.81640625" bestFit="1" customWidth="1"/>
    <col min="10" max="10" width="11.7265625" bestFit="1" customWidth="1"/>
    <col min="15" max="15" width="19.54296875" bestFit="1" customWidth="1"/>
    <col min="16" max="16" width="16.453125" bestFit="1" customWidth="1"/>
  </cols>
  <sheetData>
    <row r="3" spans="1:16" x14ac:dyDescent="0.35">
      <c r="A3" s="11" t="s">
        <v>179</v>
      </c>
      <c r="B3" t="s">
        <v>181</v>
      </c>
      <c r="E3" s="11" t="s">
        <v>181</v>
      </c>
      <c r="F3" s="11" t="s">
        <v>182</v>
      </c>
    </row>
    <row r="4" spans="1:16" x14ac:dyDescent="0.35">
      <c r="A4" s="12" t="s">
        <v>56</v>
      </c>
      <c r="B4" s="13">
        <v>7560.5</v>
      </c>
      <c r="E4" s="11" t="s">
        <v>179</v>
      </c>
      <c r="F4" t="s">
        <v>13</v>
      </c>
      <c r="G4" t="s">
        <v>22</v>
      </c>
      <c r="H4" t="s">
        <v>26</v>
      </c>
      <c r="I4" t="s">
        <v>18</v>
      </c>
      <c r="J4" t="s">
        <v>180</v>
      </c>
      <c r="O4" s="11" t="s">
        <v>179</v>
      </c>
      <c r="P4" t="s">
        <v>181</v>
      </c>
    </row>
    <row r="5" spans="1:16" x14ac:dyDescent="0.35">
      <c r="A5" s="12" t="s">
        <v>34</v>
      </c>
      <c r="B5" s="13">
        <v>7062</v>
      </c>
      <c r="E5" s="12" t="s">
        <v>188</v>
      </c>
      <c r="F5" s="13">
        <v>1977.25</v>
      </c>
      <c r="G5" s="13">
        <v>998</v>
      </c>
      <c r="H5" s="13">
        <v>2923.25</v>
      </c>
      <c r="I5" s="13">
        <v>1305</v>
      </c>
      <c r="J5" s="13">
        <v>7203.5</v>
      </c>
      <c r="O5" s="12" t="s">
        <v>57</v>
      </c>
      <c r="P5" s="13">
        <v>6832.5</v>
      </c>
    </row>
    <row r="6" spans="1:16" x14ac:dyDescent="0.35">
      <c r="A6" s="12" t="s">
        <v>11</v>
      </c>
      <c r="B6" s="13">
        <v>6867</v>
      </c>
      <c r="E6" s="12" t="s">
        <v>185</v>
      </c>
      <c r="F6" s="13">
        <v>481.5</v>
      </c>
      <c r="G6" s="13">
        <v>1121.5</v>
      </c>
      <c r="H6" s="13">
        <v>3959.25</v>
      </c>
      <c r="I6" s="13">
        <v>1395</v>
      </c>
      <c r="J6" s="13">
        <v>6957.25</v>
      </c>
      <c r="O6" s="12" t="s">
        <v>27</v>
      </c>
      <c r="P6" s="13">
        <v>3234</v>
      </c>
    </row>
    <row r="7" spans="1:16" x14ac:dyDescent="0.35">
      <c r="A7" s="12" t="s">
        <v>31</v>
      </c>
      <c r="B7" s="13">
        <v>6862.5</v>
      </c>
      <c r="E7" s="12" t="s">
        <v>184</v>
      </c>
      <c r="F7" s="13">
        <v>1820.25</v>
      </c>
      <c r="G7" s="13">
        <v>1415.5</v>
      </c>
      <c r="H7" s="13">
        <v>1911</v>
      </c>
      <c r="I7" s="13">
        <v>1080.25</v>
      </c>
      <c r="J7" s="13">
        <v>6227</v>
      </c>
      <c r="O7" s="12" t="s">
        <v>42</v>
      </c>
      <c r="P7" s="13">
        <v>3064.5</v>
      </c>
    </row>
    <row r="8" spans="1:16" x14ac:dyDescent="0.35">
      <c r="A8" s="12" t="s">
        <v>16</v>
      </c>
      <c r="B8" s="13">
        <v>4980</v>
      </c>
      <c r="E8" s="12" t="s">
        <v>187</v>
      </c>
      <c r="F8" s="13">
        <v>1119.5</v>
      </c>
      <c r="G8" s="13">
        <v>905.5</v>
      </c>
      <c r="H8" s="13">
        <v>2927</v>
      </c>
      <c r="I8" s="13">
        <v>1263</v>
      </c>
      <c r="J8" s="13">
        <v>6215</v>
      </c>
      <c r="O8" s="12" t="s">
        <v>66</v>
      </c>
      <c r="P8" s="13">
        <v>2422.5</v>
      </c>
    </row>
    <row r="9" spans="1:16" x14ac:dyDescent="0.35">
      <c r="A9" s="12" t="s">
        <v>25</v>
      </c>
      <c r="B9" s="13">
        <v>4659</v>
      </c>
      <c r="E9" s="12" t="s">
        <v>186</v>
      </c>
      <c r="F9" s="13">
        <v>875.25</v>
      </c>
      <c r="G9" s="13">
        <v>811</v>
      </c>
      <c r="H9" s="13">
        <v>2495.5</v>
      </c>
      <c r="I9" s="13">
        <v>1729</v>
      </c>
      <c r="J9" s="13">
        <v>5910.75</v>
      </c>
      <c r="O9" s="12" t="s">
        <v>39</v>
      </c>
      <c r="P9" s="13">
        <v>2414.5</v>
      </c>
    </row>
    <row r="10" spans="1:16" x14ac:dyDescent="0.35">
      <c r="A10" s="12" t="s">
        <v>180</v>
      </c>
      <c r="B10" s="13">
        <v>37991</v>
      </c>
      <c r="E10" s="12" t="s">
        <v>183</v>
      </c>
      <c r="F10" s="13">
        <v>614.5</v>
      </c>
      <c r="G10" s="13">
        <v>2557.5</v>
      </c>
      <c r="H10" s="13">
        <v>1810</v>
      </c>
      <c r="I10" s="13">
        <v>495.5</v>
      </c>
      <c r="J10" s="13">
        <v>5477.5</v>
      </c>
      <c r="O10" s="12" t="s">
        <v>180</v>
      </c>
      <c r="P10" s="13">
        <v>17968</v>
      </c>
    </row>
    <row r="11" spans="1:16" x14ac:dyDescent="0.35">
      <c r="E11" s="12" t="s">
        <v>180</v>
      </c>
      <c r="F11" s="13">
        <v>6888.25</v>
      </c>
      <c r="G11" s="13">
        <v>7809</v>
      </c>
      <c r="H11" s="13">
        <v>16026</v>
      </c>
      <c r="I11" s="13">
        <v>7267.75</v>
      </c>
      <c r="J11" s="13">
        <v>37991</v>
      </c>
    </row>
    <row r="21" spans="6:7" x14ac:dyDescent="0.35">
      <c r="F21" s="11" t="s">
        <v>179</v>
      </c>
      <c r="G21" t="s">
        <v>181</v>
      </c>
    </row>
    <row r="22" spans="6:7" x14ac:dyDescent="0.35">
      <c r="F22" s="12" t="s">
        <v>17</v>
      </c>
      <c r="G22" s="13">
        <v>8782</v>
      </c>
    </row>
    <row r="23" spans="6:7" x14ac:dyDescent="0.35">
      <c r="F23" s="12" t="s">
        <v>21</v>
      </c>
      <c r="G23" s="13">
        <v>8193.25</v>
      </c>
    </row>
    <row r="24" spans="6:7" x14ac:dyDescent="0.35">
      <c r="F24" s="12" t="s">
        <v>35</v>
      </c>
      <c r="G24" s="13">
        <v>7847.5</v>
      </c>
    </row>
    <row r="25" spans="6:7" x14ac:dyDescent="0.35">
      <c r="F25" s="12" t="s">
        <v>41</v>
      </c>
      <c r="G25" s="13">
        <v>6803.75</v>
      </c>
    </row>
    <row r="26" spans="6:7" x14ac:dyDescent="0.35">
      <c r="F26" s="12" t="s">
        <v>12</v>
      </c>
      <c r="G26" s="13">
        <v>6364.5</v>
      </c>
    </row>
    <row r="27" spans="6:7" x14ac:dyDescent="0.35">
      <c r="F27" s="12" t="s">
        <v>180</v>
      </c>
      <c r="G27" s="13">
        <v>37991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6" sqref="C16"/>
    </sheetView>
  </sheetViews>
  <sheetFormatPr baseColWidth="10" defaultRowHeight="14.5" x14ac:dyDescent="0.35"/>
  <cols>
    <col min="1" max="1" width="29.81640625" customWidth="1"/>
    <col min="2" max="2" width="22.453125" customWidth="1"/>
  </cols>
  <sheetData>
    <row r="1" spans="1:2" x14ac:dyDescent="0.35">
      <c r="A1" s="16" t="s">
        <v>189</v>
      </c>
      <c r="B1" s="16" t="s">
        <v>194</v>
      </c>
    </row>
    <row r="2" spans="1:2" x14ac:dyDescent="0.35">
      <c r="A2" s="19" t="s">
        <v>190</v>
      </c>
      <c r="B2" s="20">
        <f>SUM('[1]📊 Données Propres'!J:J)</f>
        <v>37991</v>
      </c>
    </row>
    <row r="3" spans="1:2" x14ac:dyDescent="0.35">
      <c r="A3" s="17" t="s">
        <v>191</v>
      </c>
      <c r="B3" s="17">
        <f>COUNT('[2]📊 Données Propres'!A:A)</f>
        <v>198</v>
      </c>
    </row>
    <row r="4" spans="1:2" x14ac:dyDescent="0.35">
      <c r="A4" s="19" t="s">
        <v>192</v>
      </c>
      <c r="B4" s="20">
        <f>B2/B3</f>
        <v>191.87373737373738</v>
      </c>
    </row>
    <row r="5" spans="1:2" x14ac:dyDescent="0.35">
      <c r="A5" s="17" t="s">
        <v>195</v>
      </c>
      <c r="B5" s="18">
        <f>AVERAGE('[2]📊 Données Propres'!I:I)</f>
        <v>6.4898989898989896</v>
      </c>
    </row>
    <row r="6" spans="1:2" x14ac:dyDescent="0.35">
      <c r="A6" s="21" t="s">
        <v>193</v>
      </c>
      <c r="B6" s="22" t="s">
        <v>56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showGridLines="0" tabSelected="1" zoomScale="70" workbookViewId="0">
      <selection activeCell="I24" sqref="I24"/>
    </sheetView>
  </sheetViews>
  <sheetFormatPr baseColWidth="10" defaultRowHeight="14.5" x14ac:dyDescent="0.35"/>
  <sheetData>
    <row r="1" spans="1:4" ht="18.5" x14ac:dyDescent="0.45">
      <c r="A1" s="23" t="s">
        <v>196</v>
      </c>
      <c r="B1" s="23"/>
      <c r="C1" s="23"/>
      <c r="D1" s="23"/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📊 Données_Brutes</vt:lpstr>
      <vt:lpstr>📊 Données_Propres</vt:lpstr>
      <vt:lpstr>TCD Analyses</vt:lpstr>
      <vt:lpstr>KPI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2026-03-23T09:58:01Z</dcterms:created>
  <dcterms:modified xsi:type="dcterms:W3CDTF">2026-03-25T01:31:29Z</dcterms:modified>
  <dc:language>en-US</dc:language>
</cp:coreProperties>
</file>